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FFE472BE-A4DA-42EF-9343-06B9F4ED69F1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G73" i="46" s="1"/>
  <c r="G106" i="46" s="1"/>
  <c r="G105" i="46" s="1"/>
  <c r="G104" i="46" s="1"/>
  <c r="G119" i="46" s="1"/>
  <c r="G118" i="46" s="1"/>
  <c r="F79" i="46"/>
  <c r="F73" i="46" s="1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G51" i="46"/>
  <c r="F51" i="46"/>
  <c r="F47" i="46" s="1"/>
  <c r="G47" i="46"/>
  <c r="F41" i="46"/>
  <c r="H35" i="46"/>
  <c r="G35" i="46"/>
  <c r="F35" i="46"/>
  <c r="H30" i="46"/>
  <c r="H28" i="46" s="1"/>
  <c r="G30" i="46"/>
  <c r="G28" i="46" s="1"/>
  <c r="F30" i="46"/>
  <c r="F28" i="46" s="1"/>
  <c r="G46" i="46" l="1"/>
  <c r="F98" i="46"/>
  <c r="G98" i="46"/>
  <c r="F46" i="46"/>
  <c r="F27" i="46" s="1"/>
  <c r="G27" i="46"/>
  <c r="H46" i="46"/>
  <c r="H27" i="46" s="1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H106" i="45" s="1"/>
  <c r="H105" i="45" s="1"/>
  <c r="H104" i="45" s="1"/>
  <c r="H119" i="45" s="1"/>
  <c r="H118" i="45" s="1"/>
  <c r="G79" i="45"/>
  <c r="G73" i="45" s="1"/>
  <c r="F79" i="45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F51" i="45"/>
  <c r="F47" i="45" s="1"/>
  <c r="G47" i="45"/>
  <c r="F41" i="45"/>
  <c r="H35" i="45"/>
  <c r="G35" i="45"/>
  <c r="F35" i="45"/>
  <c r="H30" i="45"/>
  <c r="G30" i="45"/>
  <c r="F30" i="45"/>
  <c r="H46" i="45" l="1"/>
  <c r="F46" i="45"/>
  <c r="H28" i="45"/>
  <c r="G28" i="45"/>
  <c r="F28" i="45"/>
  <c r="G106" i="45"/>
  <c r="G105" i="45" s="1"/>
  <c r="G104" i="45" s="1"/>
  <c r="G119" i="45" s="1"/>
  <c r="G118" i="45" s="1"/>
  <c r="G46" i="45"/>
  <c r="F119" i="45"/>
  <c r="F118" i="45" s="1"/>
  <c r="F98" i="45"/>
  <c r="H98" i="45"/>
  <c r="F27" i="45" l="1"/>
  <c r="H27" i="45"/>
  <c r="G98" i="45"/>
  <c r="G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<sst xmlns="http://schemas.openxmlformats.org/spreadsheetml/2006/main" count="828" uniqueCount="286">
  <si>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</si>
  <si>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</si>
  <si>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</si>
  <si>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</si>
  <si>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</si>
  <si>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</si>
  <si>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</si>
  <si>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</si>
  <si>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</si>
  <si>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</si>
  <si>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</si>
  <si>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</si>
  <si>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</si>
  <si>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</si>
  <si>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</si>
  <si>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</si>
  <si>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</si>
  <si>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</si>
  <si>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</si>
  <si>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</si>
  <si>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</si>
  <si>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</si>
  <si>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</si>
  <si>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</si>
  <si>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</si>
  <si>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</si>
  <si>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</si>
  <si>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</si>
  <si>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</si>
  <si>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</si>
  <si>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</si>
  <si>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</si>
  <si>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</si>
  <si>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</si>
  <si>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</si>
  <si>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</si>
  <si>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</si>
  <si>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</si>
  <si>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</si>
  <si>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</si>
  <si>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</si>
  <si>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</si>
  <si>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</si>
  <si>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</si>
  <si>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</si>
  <si>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</si>
  <si>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</si>
  <si>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</si>
  <si>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</si>
  <si>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</si>
  <si>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</si>
  <si>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</si>
  <si>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</si>
  <si>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</si>
  <si>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</si>
  <si>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</si>
  <si>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</si>
  <si>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</si>
  <si>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</si>
  <si>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</si>
  <si>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</si>
  <si>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</si>
  <si>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</si>
  <si>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</si>
  <si>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</si>
  <si>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</si>
  <si>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</si>
  <si>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</si>
  <si>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</si>
  <si>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</si>
  <si>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</si>
  <si>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</si>
  <si>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</si>
  <si>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</si>
  <si>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</si>
  <si>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</si>
  <si>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</si>
  <si>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</si>
  <si>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</si>
  <si>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</si>
  <si>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</si>
  <si>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</si>
  <si>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</si>
  <si>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</si>
  <si>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</si>
  <si>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</si>
  <si>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</si>
  <si>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</si>
  <si>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</si>
  <si>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</si>
  <si>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</si>
  <si>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</si>
  <si>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</si>
  <si>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</si>
  <si>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</si>
  <si>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</si>
  <si>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</si>
  <si>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</si>
  <si>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</si>
  <si>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</si>
  <si>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</si>
  <si>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</si>
  <si>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</si>
  <si>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</si>
  <si>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</si>
  <si>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</si>
  <si>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</si>
  <si>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</si>
  <si>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</si>
  <si>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</si>
  <si>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</si>
  <si>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</si>
  <si>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</si>
  <si>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</si>
  <si>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</si>
  <si>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</si>
  <si>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</si>
  <si>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</si>
  <si>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</si>
  <si>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</si>
  <si>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</si>
  <si>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</si>
  <si>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</si>
  <si>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</si>
  <si>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</si>
  <si>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</si>
  <si>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</si>
  <si>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</si>
  <si>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</si>
  <si>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</si>
  <si>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</si>
  <si>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</si>
  <si>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</si>
  <si>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</si>
  <si>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</si>
  <si>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</si>
  <si>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</si>
  <si>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</si>
  <si>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</si>
  <si>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</si>
  <si>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</si>
  <si>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</si>
  <si>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</si>
  <si>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</si>
  <si>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</si>
  <si>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</si>
  <si>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</si>
  <si>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</si>
  <si>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</si>
  <si>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</si>
  <si>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</si>
  <si>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</si>
  <si>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</si>
  <si>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</si>
  <si>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</si>
  <si>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</si>
  <si>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</si>
  <si>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</si>
  <si>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</si>
  <si>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</si>
  <si>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</si>
  <si>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</si>
  <si>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</si>
  <si>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</si>
  <si>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</si>
  <si>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</si>
  <si>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</si>
  <si>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</si>
  <si>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</si>
  <si>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</si>
  <si>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</si>
  <si>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</si>
  <si>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</si>
  <si>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</si>
  <si>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</si>
  <si>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</si>
  <si>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</si>
  <si>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</si>
  <si>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</si>
  <si>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</si>
  <si>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</si>
  <si>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</si>
  <si>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</si>
  <si>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</si>
  <si>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</si>
  <si>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</si>
  <si>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</si>
  <si>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</si>
  <si>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</si>
  <si>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</si>
  <si>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</si>
  <si>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</si>
  <si>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</si>
  <si>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</si>
  <si>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</si>
  <si>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</si>
  <si>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</si>
  <si>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</si>
  <si>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</si>
  <si>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</si>
  <si>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</si>
  <si>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</si>
  <si>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</si>
  <si>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</si>
  <si>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</si>
  <si>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</si>
  <si>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</si>
  <si>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</si>
  <si>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</si>
  <si>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</si>
  <si>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</si>
  <si>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</si>
  <si>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</si>
  <si>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</si>
  <si>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</si>
  <si>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</si>
  <si>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</si>
  <si>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</si>
  <si>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</si>
  <si>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</si>
  <si>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</si>
  <si>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</si>
  <si>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</si>
  <si>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</si>
  <si>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</si>
  <si>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</si>
  <si>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</si>
  <si>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</si>
  <si>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</si>
  <si>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</si>
  <si>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</si>
  <si>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</si>
  <si>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</si>
  <si>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</si>
  <si>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</si>
  <si>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</si>
  <si>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</si>
  <si>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</si>
  <si>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</si>
  <si>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</si>
  <si>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</si>
  <si>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</si>
  <si>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</si>
  <si>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</si>
  <si>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</si>
  <si>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</si>
  <si>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</si>
  <si>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</si>
  <si>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</si>
  <si>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</si>
  <si>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</si>
  <si>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</si>
  <si>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</si>
  <si>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</si>
  <si>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</si>
  <si>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</si>
  <si>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</si>
  <si>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</si>
  <si>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</si>
  <si>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</si>
  <si>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</si>
  <si>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</si>
  <si>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</si>
  <si>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</si>
  <si>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</si>
  <si>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</si>
  <si>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</si>
  <si>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</si>
  <si>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</si>
  <si>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</si>
  <si>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 xml:space="preserve">МБОУ "Серебрянская средняя общеобразовательная школа" </t>
  </si>
  <si>
    <t>Т.А.Русакова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</si>
  <si>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</si>
  <si>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</si>
  <si>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</si>
  <si>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</si>
  <si>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</si>
  <si>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</si>
  <si>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</si>
  <si>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</si>
  <si>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</si>
  <si>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</si>
  <si>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 31_" ______января_________ 2025_ г.</t>
  </si>
  <si>
    <t>"__31___" ____января_________ ___2025___ г.</t>
  </si>
  <si>
    <t>31 января  2025г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</si>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</sst>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5506-71C0-4D90-AC66-B22E42297D4E}">
  <sheetPr>
    <pageSetUpPr fitToPage="1"/>
  </sheetPr>
  <dimension ref="A1:I132"/>
  <sheetViews>
    <sheetView topLeftCell="A16" workbookViewId="0">
      <selection activeCell="F78" sqref="F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0"/>
      <c r="H5" s="49" t="s">
        <v>272</v>
      </c>
      <c r="I5" s="49"/>
    </row>
    <row r="6" spans="2:9" ht="15" customHeight="1" x14ac:dyDescent="0.15">
      <c r="G6" s="21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52320516</v>
      </c>
      <c r="I16" s="23"/>
    </row>
    <row r="17" spans="1:9" ht="18.75" customHeight="1" x14ac:dyDescent="0.15">
      <c r="G17" s="25" t="s">
        <v>12</v>
      </c>
      <c r="H17" s="6">
        <v>5512002602</v>
      </c>
      <c r="I17" s="23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25" t="s">
        <v>14</v>
      </c>
      <c r="H18" s="6">
        <v>551201001</v>
      </c>
      <c r="I18" s="23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2">
        <v>2</v>
      </c>
      <c r="D25" s="22">
        <v>3</v>
      </c>
      <c r="E25" s="22">
        <v>4</v>
      </c>
      <c r="F25" s="22">
        <v>5</v>
      </c>
      <c r="G25" s="22">
        <v>6</v>
      </c>
      <c r="H25" s="22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23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23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26450539</v>
      </c>
      <c r="G28" s="9">
        <f t="shared" ref="G28:H28" si="1">G29+G30+G34+G35+G39+G40</f>
        <v>25981518</v>
      </c>
      <c r="H28" s="9">
        <f t="shared" si="1"/>
        <v>26062736</v>
      </c>
      <c r="I28" s="23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23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26450539</v>
      </c>
      <c r="G30" s="9">
        <f t="shared" ref="G30:H30" si="2">G31+G32+G33</f>
        <v>25981518</v>
      </c>
      <c r="H30" s="9">
        <f t="shared" si="2"/>
        <v>26062736</v>
      </c>
      <c r="I30" s="23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26450539</v>
      </c>
      <c r="G31" s="7">
        <v>25981518</v>
      </c>
      <c r="H31" s="7">
        <v>26062736</v>
      </c>
      <c r="I31" s="23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3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22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23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23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23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3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2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23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23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23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3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3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23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23" t="s">
        <v>28</v>
      </c>
    </row>
    <row r="46" spans="1:9" ht="18" customHeight="1" x14ac:dyDescent="0.15">
      <c r="A46" s="46" t="s">
        <v>69</v>
      </c>
      <c r="B46" s="46"/>
      <c r="C46" s="22" t="s">
        <v>70</v>
      </c>
      <c r="D46" s="22" t="s">
        <v>27</v>
      </c>
      <c r="E46" s="22"/>
      <c r="F46" s="9">
        <f>F47+F57+F63+F67+F71+F73</f>
        <v>26450539</v>
      </c>
      <c r="G46" s="9">
        <f t="shared" ref="G46:H46" si="4">G47+G57+G63+G67+G71+G73</f>
        <v>25981518</v>
      </c>
      <c r="H46" s="9">
        <f t="shared" si="4"/>
        <v>26062736</v>
      </c>
      <c r="I46" s="23" t="s">
        <v>28</v>
      </c>
    </row>
    <row r="47" spans="1:9" ht="26.25" customHeight="1" x14ac:dyDescent="0.15">
      <c r="A47" s="46" t="s">
        <v>71</v>
      </c>
      <c r="B47" s="46"/>
      <c r="C47" s="22" t="s">
        <v>72</v>
      </c>
      <c r="D47" s="22" t="s">
        <v>27</v>
      </c>
      <c r="E47" s="22"/>
      <c r="F47" s="9">
        <f>F48+F49+F50+F51+F54+F55+F56</f>
        <v>19649284</v>
      </c>
      <c r="G47" s="9">
        <f t="shared" ref="G47:H47" si="5">G48+G49+G50+G51+G54+G55+G56</f>
        <v>19649284</v>
      </c>
      <c r="H47" s="9">
        <f t="shared" si="5"/>
        <v>19649284</v>
      </c>
      <c r="I47" s="23" t="s">
        <v>28</v>
      </c>
    </row>
    <row r="48" spans="1:9" ht="24" customHeight="1" x14ac:dyDescent="0.15">
      <c r="A48" s="46" t="s">
        <v>73</v>
      </c>
      <c r="B48" s="46"/>
      <c r="C48" s="22" t="s">
        <v>74</v>
      </c>
      <c r="D48" s="22" t="s">
        <v>75</v>
      </c>
      <c r="E48" s="22"/>
      <c r="F48" s="7">
        <v>15116460</v>
      </c>
      <c r="G48" s="7">
        <v>15116460</v>
      </c>
      <c r="H48" s="7">
        <v>15116460</v>
      </c>
      <c r="I48" s="23" t="s">
        <v>28</v>
      </c>
    </row>
    <row r="49" spans="1:9" ht="17.25" customHeight="1" x14ac:dyDescent="0.15">
      <c r="A49" s="46" t="s">
        <v>76</v>
      </c>
      <c r="B49" s="46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 t="s">
        <v>28</v>
      </c>
    </row>
    <row r="50" spans="1:9" ht="33" customHeight="1" x14ac:dyDescent="0.15">
      <c r="A50" s="46" t="s">
        <v>79</v>
      </c>
      <c r="B50" s="46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 t="s">
        <v>28</v>
      </c>
    </row>
    <row r="51" spans="1:9" ht="28.5" customHeight="1" x14ac:dyDescent="0.15">
      <c r="A51" s="46" t="s">
        <v>82</v>
      </c>
      <c r="B51" s="46"/>
      <c r="C51" s="22" t="s">
        <v>83</v>
      </c>
      <c r="D51" s="22" t="s">
        <v>84</v>
      </c>
      <c r="E51" s="22"/>
      <c r="F51" s="9">
        <f>F52+F53</f>
        <v>4532824</v>
      </c>
      <c r="G51" s="9">
        <f t="shared" ref="G51:H51" si="6">G52+G53</f>
        <v>4532824</v>
      </c>
      <c r="H51" s="9">
        <f t="shared" si="6"/>
        <v>4532824</v>
      </c>
      <c r="I51" s="23" t="s">
        <v>28</v>
      </c>
    </row>
    <row r="52" spans="1:9" ht="24" customHeight="1" x14ac:dyDescent="0.15">
      <c r="A52" s="46" t="s">
        <v>85</v>
      </c>
      <c r="B52" s="46"/>
      <c r="C52" s="22" t="s">
        <v>86</v>
      </c>
      <c r="D52" s="22" t="s">
        <v>84</v>
      </c>
      <c r="E52" s="22"/>
      <c r="F52" s="7">
        <v>4532824</v>
      </c>
      <c r="G52" s="7">
        <v>4532824</v>
      </c>
      <c r="H52" s="7">
        <v>4532824</v>
      </c>
      <c r="I52" s="23" t="s">
        <v>28</v>
      </c>
    </row>
    <row r="53" spans="1:9" ht="17.25" customHeight="1" x14ac:dyDescent="0.15">
      <c r="A53" s="46" t="s">
        <v>87</v>
      </c>
      <c r="B53" s="46"/>
      <c r="C53" s="22" t="s">
        <v>88</v>
      </c>
      <c r="D53" s="22" t="s">
        <v>84</v>
      </c>
      <c r="E53" s="22"/>
      <c r="F53" s="7">
        <v>0</v>
      </c>
      <c r="G53" s="7">
        <v>0</v>
      </c>
      <c r="H53" s="7">
        <v>0</v>
      </c>
      <c r="I53" s="23" t="s">
        <v>28</v>
      </c>
    </row>
    <row r="54" spans="1:9" ht="24.75" customHeight="1" x14ac:dyDescent="0.15">
      <c r="A54" s="46" t="s">
        <v>89</v>
      </c>
      <c r="B54" s="46"/>
      <c r="C54" s="22" t="s">
        <v>90</v>
      </c>
      <c r="D54" s="22" t="s">
        <v>91</v>
      </c>
      <c r="E54" s="22"/>
      <c r="F54" s="7">
        <v>0</v>
      </c>
      <c r="G54" s="7">
        <v>0</v>
      </c>
      <c r="H54" s="7">
        <v>0</v>
      </c>
      <c r="I54" s="23" t="s">
        <v>28</v>
      </c>
    </row>
    <row r="55" spans="1:9" ht="27" customHeight="1" x14ac:dyDescent="0.15">
      <c r="A55" s="46" t="s">
        <v>92</v>
      </c>
      <c r="B55" s="46"/>
      <c r="C55" s="22" t="s">
        <v>93</v>
      </c>
      <c r="D55" s="22" t="s">
        <v>94</v>
      </c>
      <c r="E55" s="22"/>
      <c r="F55" s="7">
        <v>0</v>
      </c>
      <c r="G55" s="7">
        <v>0</v>
      </c>
      <c r="H55" s="7">
        <v>0</v>
      </c>
      <c r="I55" s="23" t="s">
        <v>28</v>
      </c>
    </row>
    <row r="56" spans="1:9" ht="26.25" customHeight="1" x14ac:dyDescent="0.15">
      <c r="A56" s="46" t="s">
        <v>95</v>
      </c>
      <c r="B56" s="46"/>
      <c r="C56" s="22" t="s">
        <v>96</v>
      </c>
      <c r="D56" s="22" t="s">
        <v>97</v>
      </c>
      <c r="E56" s="22"/>
      <c r="F56" s="7">
        <v>0</v>
      </c>
      <c r="G56" s="7">
        <v>0</v>
      </c>
      <c r="H56" s="7">
        <v>0</v>
      </c>
      <c r="I56" s="23" t="s">
        <v>28</v>
      </c>
    </row>
    <row r="57" spans="1:9" ht="24.75" customHeight="1" x14ac:dyDescent="0.15">
      <c r="A57" s="46" t="s">
        <v>98</v>
      </c>
      <c r="B57" s="46"/>
      <c r="C57" s="22" t="s">
        <v>99</v>
      </c>
      <c r="D57" s="22" t="s">
        <v>100</v>
      </c>
      <c r="E57" s="22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3" t="s">
        <v>28</v>
      </c>
    </row>
    <row r="58" spans="1:9" ht="33.75" customHeight="1" x14ac:dyDescent="0.15">
      <c r="A58" s="46" t="s">
        <v>101</v>
      </c>
      <c r="B58" s="46"/>
      <c r="C58" s="22" t="s">
        <v>102</v>
      </c>
      <c r="D58" s="22" t="s">
        <v>103</v>
      </c>
      <c r="E58" s="22"/>
      <c r="F58" s="7">
        <v>0</v>
      </c>
      <c r="G58" s="7">
        <v>0</v>
      </c>
      <c r="H58" s="7">
        <v>0</v>
      </c>
      <c r="I58" s="23" t="s">
        <v>28</v>
      </c>
    </row>
    <row r="59" spans="1:9" ht="41.25" customHeight="1" x14ac:dyDescent="0.15">
      <c r="A59" s="46" t="s">
        <v>104</v>
      </c>
      <c r="B59" s="46"/>
      <c r="C59" s="22" t="s">
        <v>105</v>
      </c>
      <c r="D59" s="22" t="s">
        <v>106</v>
      </c>
      <c r="E59" s="22"/>
      <c r="F59" s="7">
        <v>0</v>
      </c>
      <c r="G59" s="7">
        <v>0</v>
      </c>
      <c r="H59" s="7">
        <v>0</v>
      </c>
      <c r="I59" s="23" t="s">
        <v>28</v>
      </c>
    </row>
    <row r="60" spans="1:9" ht="33.75" customHeight="1" x14ac:dyDescent="0.15">
      <c r="A60" s="46" t="s">
        <v>107</v>
      </c>
      <c r="B60" s="46"/>
      <c r="C60" s="22" t="s">
        <v>108</v>
      </c>
      <c r="D60" s="22" t="s">
        <v>109</v>
      </c>
      <c r="E60" s="22"/>
      <c r="F60" s="7">
        <v>0</v>
      </c>
      <c r="G60" s="7">
        <v>0</v>
      </c>
      <c r="H60" s="7">
        <v>0</v>
      </c>
      <c r="I60" s="23" t="s">
        <v>28</v>
      </c>
    </row>
    <row r="61" spans="1:9" ht="46.5" customHeight="1" x14ac:dyDescent="0.15">
      <c r="A61" s="46" t="s">
        <v>110</v>
      </c>
      <c r="B61" s="46"/>
      <c r="C61" s="22" t="s">
        <v>111</v>
      </c>
      <c r="D61" s="22" t="s">
        <v>112</v>
      </c>
      <c r="E61" s="22"/>
      <c r="F61" s="7">
        <v>0</v>
      </c>
      <c r="G61" s="7">
        <v>0</v>
      </c>
      <c r="H61" s="7">
        <v>0</v>
      </c>
      <c r="I61" s="23" t="s">
        <v>28</v>
      </c>
    </row>
    <row r="62" spans="1:9" ht="24.75" customHeight="1" x14ac:dyDescent="0.15">
      <c r="A62" s="46" t="s">
        <v>113</v>
      </c>
      <c r="B62" s="46"/>
      <c r="C62" s="22" t="s">
        <v>114</v>
      </c>
      <c r="D62" s="22" t="s">
        <v>115</v>
      </c>
      <c r="E62" s="22"/>
      <c r="F62" s="7">
        <v>0</v>
      </c>
      <c r="G62" s="7">
        <v>0</v>
      </c>
      <c r="H62" s="7">
        <v>0</v>
      </c>
      <c r="I62" s="23" t="s">
        <v>28</v>
      </c>
    </row>
    <row r="63" spans="1:9" ht="19.5" customHeight="1" x14ac:dyDescent="0.15">
      <c r="A63" s="46" t="s">
        <v>116</v>
      </c>
      <c r="B63" s="46"/>
      <c r="C63" s="22" t="s">
        <v>117</v>
      </c>
      <c r="D63" s="22" t="s">
        <v>118</v>
      </c>
      <c r="E63" s="22"/>
      <c r="F63" s="9">
        <f>F64+F65+F66</f>
        <v>53123</v>
      </c>
      <c r="G63" s="9">
        <f t="shared" ref="G63:H63" si="8">G64+G65+G66</f>
        <v>53123</v>
      </c>
      <c r="H63" s="9">
        <f t="shared" si="8"/>
        <v>53123</v>
      </c>
      <c r="I63" s="23" t="s">
        <v>28</v>
      </c>
    </row>
    <row r="64" spans="1:9" ht="24" customHeight="1" x14ac:dyDescent="0.15">
      <c r="A64" s="46" t="s">
        <v>119</v>
      </c>
      <c r="B64" s="46"/>
      <c r="C64" s="22" t="s">
        <v>120</v>
      </c>
      <c r="D64" s="22" t="s">
        <v>121</v>
      </c>
      <c r="E64" s="22"/>
      <c r="F64" s="7">
        <v>50675</v>
      </c>
      <c r="G64" s="7">
        <v>50675</v>
      </c>
      <c r="H64" s="7">
        <v>50675</v>
      </c>
      <c r="I64" s="23" t="s">
        <v>28</v>
      </c>
    </row>
    <row r="65" spans="1:9" ht="24" customHeight="1" x14ac:dyDescent="0.15">
      <c r="A65" s="46" t="s">
        <v>122</v>
      </c>
      <c r="B65" s="46"/>
      <c r="C65" s="22" t="s">
        <v>123</v>
      </c>
      <c r="D65" s="22" t="s">
        <v>124</v>
      </c>
      <c r="E65" s="22"/>
      <c r="F65" s="7">
        <v>2448</v>
      </c>
      <c r="G65" s="7">
        <v>2448</v>
      </c>
      <c r="H65" s="7">
        <v>2448</v>
      </c>
      <c r="I65" s="23" t="s">
        <v>28</v>
      </c>
    </row>
    <row r="66" spans="1:9" ht="22.5" customHeight="1" x14ac:dyDescent="0.15">
      <c r="A66" s="46" t="s">
        <v>125</v>
      </c>
      <c r="B66" s="46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 t="s">
        <v>28</v>
      </c>
    </row>
    <row r="67" spans="1:9" ht="18.75" customHeight="1" x14ac:dyDescent="0.15">
      <c r="A67" s="46" t="s">
        <v>128</v>
      </c>
      <c r="B67" s="46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3" t="s">
        <v>28</v>
      </c>
    </row>
    <row r="68" spans="1:9" ht="22.5" customHeight="1" x14ac:dyDescent="0.15">
      <c r="A68" s="46" t="s">
        <v>130</v>
      </c>
      <c r="B68" s="46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 t="s">
        <v>28</v>
      </c>
    </row>
    <row r="69" spans="1:9" ht="19.5" customHeight="1" x14ac:dyDescent="0.15">
      <c r="A69" s="46" t="s">
        <v>134</v>
      </c>
      <c r="B69" s="46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 t="s">
        <v>28</v>
      </c>
    </row>
    <row r="70" spans="1:9" ht="27.75" customHeight="1" x14ac:dyDescent="0.15">
      <c r="A70" s="46" t="s">
        <v>137</v>
      </c>
      <c r="B70" s="46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 t="s">
        <v>28</v>
      </c>
    </row>
    <row r="71" spans="1:9" ht="18" customHeight="1" x14ac:dyDescent="0.15">
      <c r="A71" s="46" t="s">
        <v>140</v>
      </c>
      <c r="B71" s="46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3" t="s">
        <v>28</v>
      </c>
    </row>
    <row r="72" spans="1:9" ht="33" customHeight="1" x14ac:dyDescent="0.15">
      <c r="A72" s="46" t="s">
        <v>142</v>
      </c>
      <c r="B72" s="46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6748132</v>
      </c>
      <c r="G73" s="16">
        <f t="shared" ref="G73:H73" si="11">G74+G75+G76+G77+G78+G79</f>
        <v>6279111</v>
      </c>
      <c r="H73" s="16">
        <f t="shared" si="11"/>
        <v>6360329</v>
      </c>
      <c r="I73" s="23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 t="s">
        <v>28</v>
      </c>
    </row>
    <row r="76" spans="1:9" ht="21.75" customHeight="1" x14ac:dyDescent="0.15">
      <c r="A76" s="43" t="s">
        <v>153</v>
      </c>
      <c r="B76" s="43"/>
      <c r="C76" s="19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23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1944207</v>
      </c>
      <c r="G77" s="15">
        <v>1259793</v>
      </c>
      <c r="H77" s="15">
        <v>1114849</v>
      </c>
      <c r="I77" s="23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4803925</v>
      </c>
      <c r="G78" s="15">
        <v>5019318</v>
      </c>
      <c r="H78" s="15">
        <v>5245480</v>
      </c>
      <c r="I78" s="22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22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23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23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6748132</v>
      </c>
      <c r="G98" s="10">
        <f>G99+G100+G101+G104</f>
        <v>6279111</v>
      </c>
      <c r="H98" s="10">
        <f>H99+H100+H101+H104</f>
        <v>6360329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 t="s">
        <v>195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6748132</v>
      </c>
      <c r="G104" s="10">
        <f t="shared" ref="G104:H104" si="16">G105+G108+G111+G112+G115</f>
        <v>6279111</v>
      </c>
      <c r="H104" s="10">
        <f t="shared" si="16"/>
        <v>6360329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6748132</v>
      </c>
      <c r="G105" s="10">
        <f t="shared" ref="G105:H105" si="17">G106+G107</f>
        <v>6279111</v>
      </c>
      <c r="H105" s="10">
        <f t="shared" si="17"/>
        <v>6360329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6748132</v>
      </c>
      <c r="G106" s="15">
        <f>G73</f>
        <v>6279111</v>
      </c>
      <c r="H106" s="15">
        <f>H73</f>
        <v>6360329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6748132</v>
      </c>
      <c r="G118" s="10">
        <f t="shared" ref="G118:H118" si="21">G119+G120+G121</f>
        <v>6279111</v>
      </c>
      <c r="H118" s="10">
        <f t="shared" si="21"/>
        <v>6360329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6748132</v>
      </c>
      <c r="G119" s="7">
        <f t="shared" ref="G119:H119" si="22">G104</f>
        <v>6279111</v>
      </c>
      <c r="H119" s="7">
        <f t="shared" si="22"/>
        <v>6360329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7"/>
      <c r="F127" s="39" t="s">
        <v>271</v>
      </c>
      <c r="G127" s="40"/>
    </row>
    <row r="128" spans="1:8" x14ac:dyDescent="0.15">
      <c r="C128" s="36" t="s">
        <v>259</v>
      </c>
      <c r="D128" s="36"/>
      <c r="E128" s="24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6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4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5864-02FD-4F2D-BC99-4EDF970402A2}">
  <sheetPr>
    <pageSetUpPr fitToPage="1"/>
  </sheetPr>
  <dimension ref="A1:I132"/>
  <sheetViews>
    <sheetView tabSelected="1" topLeftCell="A19" workbookViewId="0">
      <selection activeCell="H78" sqref="H78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8"/>
      <c r="H5" s="49" t="s">
        <v>272</v>
      </c>
      <c r="I5" s="49"/>
    </row>
    <row r="6" spans="2:9" ht="15" customHeight="1" x14ac:dyDescent="0.15">
      <c r="G6" s="29" t="s">
        <v>2</v>
      </c>
      <c r="H6" s="50" t="s">
        <v>3</v>
      </c>
      <c r="I6" s="50"/>
    </row>
    <row r="7" spans="2:9" ht="30" customHeight="1" x14ac:dyDescent="0.15">
      <c r="G7" s="37" t="s">
        <v>283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284</v>
      </c>
      <c r="E13" s="53"/>
      <c r="F13" s="53"/>
      <c r="G13" s="13" t="s">
        <v>8</v>
      </c>
      <c r="H13" s="14" t="s">
        <v>285</v>
      </c>
      <c r="I13" s="14"/>
    </row>
    <row r="14" spans="2:9" ht="18.75" customHeight="1" x14ac:dyDescent="0.15">
      <c r="G14" s="33" t="s">
        <v>9</v>
      </c>
      <c r="H14" s="6">
        <v>52302592</v>
      </c>
      <c r="I14" s="31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33" t="s">
        <v>11</v>
      </c>
      <c r="H15" s="6">
        <v>504</v>
      </c>
      <c r="I15" s="31"/>
    </row>
    <row r="16" spans="2:9" ht="18.75" customHeight="1" x14ac:dyDescent="0.15">
      <c r="G16" s="33" t="s">
        <v>9</v>
      </c>
      <c r="H16" s="8">
        <v>52320516</v>
      </c>
      <c r="I16" s="31"/>
    </row>
    <row r="17" spans="1:9" ht="18.75" customHeight="1" x14ac:dyDescent="0.15">
      <c r="G17" s="33" t="s">
        <v>12</v>
      </c>
      <c r="H17" s="6">
        <v>5512002602</v>
      </c>
      <c r="I17" s="31"/>
    </row>
    <row r="18" spans="1:9" ht="30.75" customHeight="1" x14ac:dyDescent="0.15">
      <c r="B18" s="4" t="s">
        <v>13</v>
      </c>
      <c r="C18" s="54" t="s">
        <v>270</v>
      </c>
      <c r="D18" s="54"/>
      <c r="E18" s="54"/>
      <c r="F18" s="54"/>
      <c r="G18" s="33" t="s">
        <v>14</v>
      </c>
      <c r="H18" s="6">
        <v>551201001</v>
      </c>
      <c r="I18" s="31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33" t="s">
        <v>17</v>
      </c>
      <c r="H19" s="31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0">
        <v>2</v>
      </c>
      <c r="D25" s="30">
        <v>3</v>
      </c>
      <c r="E25" s="30">
        <v>4</v>
      </c>
      <c r="F25" s="30">
        <v>5</v>
      </c>
      <c r="G25" s="30">
        <v>6</v>
      </c>
      <c r="H25" s="30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943.9</v>
      </c>
      <c r="G26" s="9">
        <v>0</v>
      </c>
      <c r="H26" s="9">
        <v>0</v>
      </c>
      <c r="I26" s="31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31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26514926</v>
      </c>
      <c r="G28" s="16">
        <f t="shared" ref="G28:H28" si="1">G29+G30+G34+G35+G39+G40+G41</f>
        <v>25874999</v>
      </c>
      <c r="H28" s="16">
        <f t="shared" si="1"/>
        <v>25956217</v>
      </c>
      <c r="I28" s="31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31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26514926</v>
      </c>
      <c r="G30" s="9">
        <f t="shared" ref="G30:H30" si="2">G31+G32+G33</f>
        <v>25874999</v>
      </c>
      <c r="H30" s="9">
        <f t="shared" si="2"/>
        <v>25956217</v>
      </c>
      <c r="I30" s="31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26514926</v>
      </c>
      <c r="G31" s="7">
        <v>25874999</v>
      </c>
      <c r="H31" s="7">
        <v>25956217</v>
      </c>
      <c r="I31" s="31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1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0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1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31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7">
        <v>0</v>
      </c>
      <c r="H36" s="7">
        <v>0</v>
      </c>
      <c r="I36" s="31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1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0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31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31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31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1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1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1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1" t="s">
        <v>28</v>
      </c>
    </row>
    <row r="46" spans="1:9" ht="18" customHeight="1" x14ac:dyDescent="0.15">
      <c r="A46" s="46" t="s">
        <v>69</v>
      </c>
      <c r="B46" s="46"/>
      <c r="C46" s="30" t="s">
        <v>70</v>
      </c>
      <c r="D46" s="30" t="s">
        <v>27</v>
      </c>
      <c r="E46" s="30"/>
      <c r="F46" s="9">
        <f>F47+F57+F63+F67+F71+F73</f>
        <v>26515869.899999999</v>
      </c>
      <c r="G46" s="9">
        <f t="shared" ref="G46:H46" si="4">G47+G57+G63+G67+G71+G73</f>
        <v>25874999</v>
      </c>
      <c r="H46" s="9">
        <f t="shared" si="4"/>
        <v>25956217</v>
      </c>
      <c r="I46" s="31" t="s">
        <v>28</v>
      </c>
    </row>
    <row r="47" spans="1:9" ht="26.25" customHeight="1" x14ac:dyDescent="0.15">
      <c r="A47" s="46" t="s">
        <v>71</v>
      </c>
      <c r="B47" s="46"/>
      <c r="C47" s="30" t="s">
        <v>72</v>
      </c>
      <c r="D47" s="30" t="s">
        <v>27</v>
      </c>
      <c r="E47" s="30"/>
      <c r="F47" s="9">
        <f>F48+F49+F50+F51+F54+F55+F56</f>
        <v>19649284</v>
      </c>
      <c r="G47" s="9">
        <f t="shared" ref="G47:H47" si="5">G48+G49+G50+G51+G54+G55+G56</f>
        <v>19649284</v>
      </c>
      <c r="H47" s="9">
        <f t="shared" si="5"/>
        <v>19649284</v>
      </c>
      <c r="I47" s="31" t="s">
        <v>28</v>
      </c>
    </row>
    <row r="48" spans="1:9" ht="24" customHeight="1" x14ac:dyDescent="0.15">
      <c r="A48" s="46" t="s">
        <v>73</v>
      </c>
      <c r="B48" s="46"/>
      <c r="C48" s="30" t="s">
        <v>74</v>
      </c>
      <c r="D48" s="30" t="s">
        <v>75</v>
      </c>
      <c r="E48" s="30"/>
      <c r="F48" s="7">
        <v>15116460</v>
      </c>
      <c r="G48" s="7">
        <v>15116460</v>
      </c>
      <c r="H48" s="7">
        <v>15116460</v>
      </c>
      <c r="I48" s="31" t="s">
        <v>28</v>
      </c>
    </row>
    <row r="49" spans="1:9" ht="17.25" customHeight="1" x14ac:dyDescent="0.15">
      <c r="A49" s="46" t="s">
        <v>76</v>
      </c>
      <c r="B49" s="46"/>
      <c r="C49" s="30" t="s">
        <v>77</v>
      </c>
      <c r="D49" s="30" t="s">
        <v>78</v>
      </c>
      <c r="E49" s="30"/>
      <c r="F49" s="7">
        <v>0</v>
      </c>
      <c r="G49" s="7">
        <v>0</v>
      </c>
      <c r="H49" s="7">
        <v>0</v>
      </c>
      <c r="I49" s="31" t="s">
        <v>28</v>
      </c>
    </row>
    <row r="50" spans="1:9" ht="33" customHeight="1" x14ac:dyDescent="0.15">
      <c r="A50" s="46" t="s">
        <v>79</v>
      </c>
      <c r="B50" s="46"/>
      <c r="C50" s="30" t="s">
        <v>80</v>
      </c>
      <c r="D50" s="30" t="s">
        <v>81</v>
      </c>
      <c r="E50" s="30"/>
      <c r="F50" s="7">
        <v>0</v>
      </c>
      <c r="G50" s="7">
        <v>0</v>
      </c>
      <c r="H50" s="7">
        <v>0</v>
      </c>
      <c r="I50" s="31" t="s">
        <v>28</v>
      </c>
    </row>
    <row r="51" spans="1:9" ht="28.5" customHeight="1" x14ac:dyDescent="0.15">
      <c r="A51" s="46" t="s">
        <v>82</v>
      </c>
      <c r="B51" s="46"/>
      <c r="C51" s="30" t="s">
        <v>83</v>
      </c>
      <c r="D51" s="30" t="s">
        <v>84</v>
      </c>
      <c r="E51" s="30"/>
      <c r="F51" s="9">
        <f>F52+F53</f>
        <v>4532824</v>
      </c>
      <c r="G51" s="9">
        <f t="shared" ref="G51:H51" si="6">G52+G53</f>
        <v>4532824</v>
      </c>
      <c r="H51" s="9">
        <f t="shared" si="6"/>
        <v>4532824</v>
      </c>
      <c r="I51" s="31" t="s">
        <v>28</v>
      </c>
    </row>
    <row r="52" spans="1:9" ht="24" customHeight="1" x14ac:dyDescent="0.15">
      <c r="A52" s="46" t="s">
        <v>85</v>
      </c>
      <c r="B52" s="46"/>
      <c r="C52" s="30" t="s">
        <v>86</v>
      </c>
      <c r="D52" s="30" t="s">
        <v>84</v>
      </c>
      <c r="E52" s="30"/>
      <c r="F52" s="7">
        <v>4532824</v>
      </c>
      <c r="G52" s="7">
        <v>4532824</v>
      </c>
      <c r="H52" s="7">
        <v>4532824</v>
      </c>
      <c r="I52" s="31" t="s">
        <v>28</v>
      </c>
    </row>
    <row r="53" spans="1:9" ht="17.25" customHeight="1" x14ac:dyDescent="0.15">
      <c r="A53" s="46" t="s">
        <v>87</v>
      </c>
      <c r="B53" s="46"/>
      <c r="C53" s="30" t="s">
        <v>88</v>
      </c>
      <c r="D53" s="30" t="s">
        <v>84</v>
      </c>
      <c r="E53" s="30"/>
      <c r="F53" s="7">
        <v>0</v>
      </c>
      <c r="G53" s="7">
        <v>0</v>
      </c>
      <c r="H53" s="7">
        <v>0</v>
      </c>
      <c r="I53" s="31" t="s">
        <v>28</v>
      </c>
    </row>
    <row r="54" spans="1:9" ht="24.75" customHeight="1" x14ac:dyDescent="0.15">
      <c r="A54" s="46" t="s">
        <v>89</v>
      </c>
      <c r="B54" s="46"/>
      <c r="C54" s="30" t="s">
        <v>90</v>
      </c>
      <c r="D54" s="30" t="s">
        <v>91</v>
      </c>
      <c r="E54" s="30"/>
      <c r="F54" s="7">
        <v>0</v>
      </c>
      <c r="G54" s="7">
        <v>0</v>
      </c>
      <c r="H54" s="7">
        <v>0</v>
      </c>
      <c r="I54" s="31" t="s">
        <v>28</v>
      </c>
    </row>
    <row r="55" spans="1:9" ht="27" customHeight="1" x14ac:dyDescent="0.15">
      <c r="A55" s="46" t="s">
        <v>92</v>
      </c>
      <c r="B55" s="46"/>
      <c r="C55" s="30" t="s">
        <v>93</v>
      </c>
      <c r="D55" s="30" t="s">
        <v>94</v>
      </c>
      <c r="E55" s="30"/>
      <c r="F55" s="7">
        <v>0</v>
      </c>
      <c r="G55" s="7">
        <v>0</v>
      </c>
      <c r="H55" s="7">
        <v>0</v>
      </c>
      <c r="I55" s="31" t="s">
        <v>28</v>
      </c>
    </row>
    <row r="56" spans="1:9" ht="26.25" customHeight="1" x14ac:dyDescent="0.15">
      <c r="A56" s="46" t="s">
        <v>95</v>
      </c>
      <c r="B56" s="46"/>
      <c r="C56" s="30" t="s">
        <v>96</v>
      </c>
      <c r="D56" s="30" t="s">
        <v>97</v>
      </c>
      <c r="E56" s="30"/>
      <c r="F56" s="7">
        <v>0</v>
      </c>
      <c r="G56" s="7">
        <v>0</v>
      </c>
      <c r="H56" s="7">
        <v>0</v>
      </c>
      <c r="I56" s="31" t="s">
        <v>28</v>
      </c>
    </row>
    <row r="57" spans="1:9" ht="24.75" customHeight="1" x14ac:dyDescent="0.15">
      <c r="A57" s="46" t="s">
        <v>98</v>
      </c>
      <c r="B57" s="46"/>
      <c r="C57" s="30" t="s">
        <v>99</v>
      </c>
      <c r="D57" s="30" t="s">
        <v>100</v>
      </c>
      <c r="E57" s="30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1" t="s">
        <v>28</v>
      </c>
    </row>
    <row r="58" spans="1:9" ht="33.75" customHeight="1" x14ac:dyDescent="0.15">
      <c r="A58" s="46" t="s">
        <v>101</v>
      </c>
      <c r="B58" s="46"/>
      <c r="C58" s="30" t="s">
        <v>102</v>
      </c>
      <c r="D58" s="30" t="s">
        <v>103</v>
      </c>
      <c r="E58" s="30"/>
      <c r="F58" s="7">
        <v>0</v>
      </c>
      <c r="G58" s="7">
        <v>0</v>
      </c>
      <c r="H58" s="7">
        <v>0</v>
      </c>
      <c r="I58" s="31" t="s">
        <v>28</v>
      </c>
    </row>
    <row r="59" spans="1:9" ht="41.25" customHeight="1" x14ac:dyDescent="0.15">
      <c r="A59" s="46" t="s">
        <v>104</v>
      </c>
      <c r="B59" s="46"/>
      <c r="C59" s="30" t="s">
        <v>105</v>
      </c>
      <c r="D59" s="30" t="s">
        <v>106</v>
      </c>
      <c r="E59" s="30"/>
      <c r="F59" s="7">
        <v>0</v>
      </c>
      <c r="G59" s="7">
        <v>0</v>
      </c>
      <c r="H59" s="7">
        <v>0</v>
      </c>
      <c r="I59" s="31" t="s">
        <v>28</v>
      </c>
    </row>
    <row r="60" spans="1:9" ht="33.75" customHeight="1" x14ac:dyDescent="0.15">
      <c r="A60" s="46" t="s">
        <v>107</v>
      </c>
      <c r="B60" s="46"/>
      <c r="C60" s="30" t="s">
        <v>108</v>
      </c>
      <c r="D60" s="30" t="s">
        <v>109</v>
      </c>
      <c r="E60" s="30"/>
      <c r="F60" s="7">
        <v>0</v>
      </c>
      <c r="G60" s="7">
        <v>0</v>
      </c>
      <c r="H60" s="7">
        <v>0</v>
      </c>
      <c r="I60" s="31" t="s">
        <v>28</v>
      </c>
    </row>
    <row r="61" spans="1:9" ht="46.5" customHeight="1" x14ac:dyDescent="0.15">
      <c r="A61" s="46" t="s">
        <v>110</v>
      </c>
      <c r="B61" s="46"/>
      <c r="C61" s="30" t="s">
        <v>111</v>
      </c>
      <c r="D61" s="30" t="s">
        <v>112</v>
      </c>
      <c r="E61" s="30"/>
      <c r="F61" s="7">
        <v>0</v>
      </c>
      <c r="G61" s="7">
        <v>0</v>
      </c>
      <c r="H61" s="7">
        <v>0</v>
      </c>
      <c r="I61" s="31" t="s">
        <v>28</v>
      </c>
    </row>
    <row r="62" spans="1:9" ht="24.75" customHeight="1" x14ac:dyDescent="0.15">
      <c r="A62" s="46" t="s">
        <v>113</v>
      </c>
      <c r="B62" s="46"/>
      <c r="C62" s="30" t="s">
        <v>114</v>
      </c>
      <c r="D62" s="30" t="s">
        <v>115</v>
      </c>
      <c r="E62" s="30"/>
      <c r="F62" s="7">
        <v>0</v>
      </c>
      <c r="G62" s="7">
        <v>0</v>
      </c>
      <c r="H62" s="7">
        <v>0</v>
      </c>
      <c r="I62" s="31" t="s">
        <v>28</v>
      </c>
    </row>
    <row r="63" spans="1:9" ht="19.5" customHeight="1" x14ac:dyDescent="0.15">
      <c r="A63" s="46" t="s">
        <v>116</v>
      </c>
      <c r="B63" s="46"/>
      <c r="C63" s="30" t="s">
        <v>117</v>
      </c>
      <c r="D63" s="30" t="s">
        <v>118</v>
      </c>
      <c r="E63" s="30"/>
      <c r="F63" s="9">
        <f>F64+F65+F66</f>
        <v>53123</v>
      </c>
      <c r="G63" s="9">
        <f t="shared" ref="G63:H63" si="8">G64+G65+G66</f>
        <v>53123</v>
      </c>
      <c r="H63" s="9">
        <f t="shared" si="8"/>
        <v>53123</v>
      </c>
      <c r="I63" s="31" t="s">
        <v>28</v>
      </c>
    </row>
    <row r="64" spans="1:9" ht="24" customHeight="1" x14ac:dyDescent="0.15">
      <c r="A64" s="46" t="s">
        <v>119</v>
      </c>
      <c r="B64" s="46"/>
      <c r="C64" s="30" t="s">
        <v>120</v>
      </c>
      <c r="D64" s="30" t="s">
        <v>121</v>
      </c>
      <c r="E64" s="30"/>
      <c r="F64" s="7">
        <v>50675</v>
      </c>
      <c r="G64" s="7">
        <v>50675</v>
      </c>
      <c r="H64" s="7">
        <v>50675</v>
      </c>
      <c r="I64" s="31" t="s">
        <v>28</v>
      </c>
    </row>
    <row r="65" spans="1:9" ht="24" customHeight="1" x14ac:dyDescent="0.15">
      <c r="A65" s="46" t="s">
        <v>122</v>
      </c>
      <c r="B65" s="46"/>
      <c r="C65" s="30" t="s">
        <v>123</v>
      </c>
      <c r="D65" s="30" t="s">
        <v>124</v>
      </c>
      <c r="E65" s="30"/>
      <c r="F65" s="7">
        <v>2448</v>
      </c>
      <c r="G65" s="7">
        <v>2448</v>
      </c>
      <c r="H65" s="7">
        <v>2448</v>
      </c>
      <c r="I65" s="31" t="s">
        <v>28</v>
      </c>
    </row>
    <row r="66" spans="1:9" ht="22.5" customHeight="1" x14ac:dyDescent="0.15">
      <c r="A66" s="46" t="s">
        <v>125</v>
      </c>
      <c r="B66" s="46"/>
      <c r="C66" s="30" t="s">
        <v>126</v>
      </c>
      <c r="D66" s="30" t="s">
        <v>127</v>
      </c>
      <c r="E66" s="30"/>
      <c r="F66" s="7">
        <v>0</v>
      </c>
      <c r="G66" s="7">
        <v>0</v>
      </c>
      <c r="H66" s="7">
        <v>0</v>
      </c>
      <c r="I66" s="31" t="s">
        <v>28</v>
      </c>
    </row>
    <row r="67" spans="1:9" ht="18.75" customHeight="1" x14ac:dyDescent="0.15">
      <c r="A67" s="46" t="s">
        <v>128</v>
      </c>
      <c r="B67" s="46"/>
      <c r="C67" s="30" t="s">
        <v>129</v>
      </c>
      <c r="D67" s="30" t="s">
        <v>27</v>
      </c>
      <c r="E67" s="30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1" t="s">
        <v>28</v>
      </c>
    </row>
    <row r="68" spans="1:9" ht="22.5" customHeight="1" x14ac:dyDescent="0.15">
      <c r="A68" s="46" t="s">
        <v>130</v>
      </c>
      <c r="B68" s="46"/>
      <c r="C68" s="30" t="s">
        <v>131</v>
      </c>
      <c r="D68" s="30" t="s">
        <v>132</v>
      </c>
      <c r="E68" s="30"/>
      <c r="F68" s="7">
        <v>0</v>
      </c>
      <c r="G68" s="7">
        <v>0</v>
      </c>
      <c r="H68" s="7">
        <v>0</v>
      </c>
      <c r="I68" s="31" t="s">
        <v>28</v>
      </c>
    </row>
    <row r="69" spans="1:9" ht="19.5" customHeight="1" x14ac:dyDescent="0.15">
      <c r="A69" s="46" t="s">
        <v>134</v>
      </c>
      <c r="B69" s="46"/>
      <c r="C69" s="30" t="s">
        <v>135</v>
      </c>
      <c r="D69" s="30" t="s">
        <v>136</v>
      </c>
      <c r="E69" s="30"/>
      <c r="F69" s="7">
        <v>0</v>
      </c>
      <c r="G69" s="7">
        <v>0</v>
      </c>
      <c r="H69" s="7">
        <v>0</v>
      </c>
      <c r="I69" s="31" t="s">
        <v>28</v>
      </c>
    </row>
    <row r="70" spans="1:9" ht="27.75" customHeight="1" x14ac:dyDescent="0.15">
      <c r="A70" s="46" t="s">
        <v>137</v>
      </c>
      <c r="B70" s="46"/>
      <c r="C70" s="30" t="s">
        <v>138</v>
      </c>
      <c r="D70" s="30" t="s">
        <v>139</v>
      </c>
      <c r="E70" s="30"/>
      <c r="F70" s="7">
        <v>0</v>
      </c>
      <c r="G70" s="7">
        <v>0</v>
      </c>
      <c r="H70" s="7">
        <v>0</v>
      </c>
      <c r="I70" s="31" t="s">
        <v>28</v>
      </c>
    </row>
    <row r="71" spans="1:9" ht="18" customHeight="1" x14ac:dyDescent="0.15">
      <c r="A71" s="46" t="s">
        <v>140</v>
      </c>
      <c r="B71" s="46"/>
      <c r="C71" s="30" t="s">
        <v>141</v>
      </c>
      <c r="D71" s="30" t="s">
        <v>27</v>
      </c>
      <c r="E71" s="30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1" t="s">
        <v>28</v>
      </c>
    </row>
    <row r="72" spans="1:9" ht="33" customHeight="1" x14ac:dyDescent="0.15">
      <c r="A72" s="46" t="s">
        <v>142</v>
      </c>
      <c r="B72" s="46"/>
      <c r="C72" s="30" t="s">
        <v>143</v>
      </c>
      <c r="D72" s="30" t="s">
        <v>144</v>
      </c>
      <c r="E72" s="30"/>
      <c r="F72" s="7">
        <v>0</v>
      </c>
      <c r="G72" s="7">
        <v>0</v>
      </c>
      <c r="H72" s="7">
        <v>0</v>
      </c>
      <c r="I72" s="31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6813462.9000000004</v>
      </c>
      <c r="G73" s="16">
        <f t="shared" ref="G73:H73" si="11">G74+G75+G76+G77+G78+G79</f>
        <v>6172592</v>
      </c>
      <c r="H73" s="16">
        <f t="shared" si="11"/>
        <v>6253810</v>
      </c>
      <c r="I73" s="31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1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1" t="s">
        <v>28</v>
      </c>
    </row>
    <row r="76" spans="1:9" ht="21.75" customHeight="1" x14ac:dyDescent="0.15">
      <c r="A76" s="43" t="s">
        <v>153</v>
      </c>
      <c r="B76" s="43"/>
      <c r="C76" s="19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31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2009537.9</v>
      </c>
      <c r="G77" s="15">
        <v>1153274</v>
      </c>
      <c r="H77" s="15">
        <v>1008330</v>
      </c>
      <c r="I77" s="31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4803925</v>
      </c>
      <c r="G78" s="15">
        <v>5019318</v>
      </c>
      <c r="H78" s="15">
        <v>5245480</v>
      </c>
      <c r="I78" s="30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30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0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1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31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1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1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1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31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1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1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1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1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1">
        <v>1</v>
      </c>
      <c r="B97" s="31">
        <v>2</v>
      </c>
      <c r="C97" s="31">
        <v>3</v>
      </c>
      <c r="D97" s="31">
        <v>4</v>
      </c>
      <c r="E97" s="31">
        <v>5</v>
      </c>
      <c r="F97" s="31">
        <v>6</v>
      </c>
      <c r="G97" s="31">
        <v>7</v>
      </c>
      <c r="H97" s="31">
        <v>8</v>
      </c>
    </row>
    <row r="98" spans="1:8" x14ac:dyDescent="0.15">
      <c r="A98" s="31" t="s">
        <v>28</v>
      </c>
      <c r="B98" s="1" t="s">
        <v>188</v>
      </c>
      <c r="C98" s="31" t="s">
        <v>189</v>
      </c>
      <c r="D98" s="31" t="s">
        <v>133</v>
      </c>
      <c r="E98" s="31"/>
      <c r="F98" s="10">
        <f>F99+F100+F101+F104</f>
        <v>6813462.9000000004</v>
      </c>
      <c r="G98" s="10">
        <f>G99+G100+G101+G104</f>
        <v>6172592</v>
      </c>
      <c r="H98" s="10">
        <f>H99+H100+H101+H104</f>
        <v>6253810</v>
      </c>
    </row>
    <row r="99" spans="1:8" ht="31.5" x14ac:dyDescent="0.15">
      <c r="A99" s="31" t="s">
        <v>190</v>
      </c>
      <c r="B99" s="1" t="s">
        <v>191</v>
      </c>
      <c r="C99" s="31" t="s">
        <v>192</v>
      </c>
      <c r="D99" s="31" t="s">
        <v>133</v>
      </c>
      <c r="E99" s="31"/>
      <c r="F99" s="2"/>
      <c r="G99" s="2"/>
      <c r="H99" s="2"/>
    </row>
    <row r="100" spans="1:8" ht="42" x14ac:dyDescent="0.15">
      <c r="A100" s="31" t="s">
        <v>193</v>
      </c>
      <c r="B100" s="1" t="s">
        <v>194</v>
      </c>
      <c r="C100" s="31" t="s">
        <v>195</v>
      </c>
      <c r="D100" s="31" t="s">
        <v>133</v>
      </c>
      <c r="E100" s="31"/>
      <c r="F100" s="2"/>
      <c r="G100" s="2"/>
      <c r="H100" s="2"/>
    </row>
    <row r="101" spans="1:8" ht="31.5" x14ac:dyDescent="0.15">
      <c r="A101" s="31" t="s">
        <v>196</v>
      </c>
      <c r="B101" s="1" t="s">
        <v>197</v>
      </c>
      <c r="C101" s="31" t="s">
        <v>198</v>
      </c>
      <c r="D101" s="31" t="s">
        <v>133</v>
      </c>
      <c r="E101" s="31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1" t="s">
        <v>199</v>
      </c>
      <c r="B102" s="1" t="s">
        <v>200</v>
      </c>
      <c r="C102" s="31" t="s">
        <v>201</v>
      </c>
      <c r="D102" s="31" t="s">
        <v>133</v>
      </c>
      <c r="E102" s="31"/>
      <c r="F102" s="2"/>
      <c r="G102" s="2"/>
      <c r="H102" s="2"/>
    </row>
    <row r="103" spans="1:8" x14ac:dyDescent="0.15">
      <c r="A103" s="31" t="s">
        <v>202</v>
      </c>
      <c r="B103" s="1" t="s">
        <v>203</v>
      </c>
      <c r="C103" s="31" t="s">
        <v>204</v>
      </c>
      <c r="D103" s="31" t="s">
        <v>133</v>
      </c>
      <c r="E103" s="31"/>
      <c r="F103" s="2"/>
      <c r="G103" s="2"/>
      <c r="H103" s="2"/>
    </row>
    <row r="104" spans="1:8" ht="42" x14ac:dyDescent="0.15">
      <c r="A104" s="31" t="s">
        <v>205</v>
      </c>
      <c r="B104" s="1" t="s">
        <v>206</v>
      </c>
      <c r="C104" s="31" t="s">
        <v>207</v>
      </c>
      <c r="D104" s="31" t="s">
        <v>133</v>
      </c>
      <c r="E104" s="31"/>
      <c r="F104" s="10">
        <f>F105+F108+F111+F112+F115</f>
        <v>6813462.9000000004</v>
      </c>
      <c r="G104" s="10">
        <f t="shared" ref="G104:H104" si="16">G105+G108+G111+G112+G115</f>
        <v>6172592</v>
      </c>
      <c r="H104" s="10">
        <f t="shared" si="16"/>
        <v>6253810</v>
      </c>
    </row>
    <row r="105" spans="1:8" ht="31.5" x14ac:dyDescent="0.15">
      <c r="A105" s="31" t="s">
        <v>208</v>
      </c>
      <c r="B105" s="1" t="s">
        <v>209</v>
      </c>
      <c r="C105" s="31" t="s">
        <v>210</v>
      </c>
      <c r="D105" s="31" t="s">
        <v>133</v>
      </c>
      <c r="E105" s="31"/>
      <c r="F105" s="10">
        <f>F106+F107</f>
        <v>6813462.9000000004</v>
      </c>
      <c r="G105" s="10">
        <f t="shared" ref="G105:H105" si="17">G106+G107</f>
        <v>6172592</v>
      </c>
      <c r="H105" s="10">
        <f t="shared" si="17"/>
        <v>6253810</v>
      </c>
    </row>
    <row r="106" spans="1:8" x14ac:dyDescent="0.15">
      <c r="A106" s="31" t="s">
        <v>211</v>
      </c>
      <c r="B106" s="1" t="s">
        <v>200</v>
      </c>
      <c r="C106" s="31" t="s">
        <v>212</v>
      </c>
      <c r="D106" s="31" t="s">
        <v>133</v>
      </c>
      <c r="E106" s="31"/>
      <c r="F106" s="15">
        <f>F73</f>
        <v>6813462.9000000004</v>
      </c>
      <c r="G106" s="15">
        <f>G73</f>
        <v>6172592</v>
      </c>
      <c r="H106" s="15">
        <f>H73</f>
        <v>6253810</v>
      </c>
    </row>
    <row r="107" spans="1:8" x14ac:dyDescent="0.15">
      <c r="A107" s="31" t="s">
        <v>213</v>
      </c>
      <c r="B107" s="1" t="s">
        <v>203</v>
      </c>
      <c r="C107" s="31" t="s">
        <v>214</v>
      </c>
      <c r="D107" s="31" t="s">
        <v>133</v>
      </c>
      <c r="E107" s="31"/>
      <c r="F107" s="2"/>
      <c r="G107" s="2"/>
      <c r="H107" s="2"/>
    </row>
    <row r="108" spans="1:8" ht="31.5" x14ac:dyDescent="0.15">
      <c r="A108" s="31" t="s">
        <v>215</v>
      </c>
      <c r="B108" s="1" t="s">
        <v>216</v>
      </c>
      <c r="C108" s="31" t="s">
        <v>217</v>
      </c>
      <c r="D108" s="31" t="s">
        <v>133</v>
      </c>
      <c r="E108" s="31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1" t="s">
        <v>218</v>
      </c>
      <c r="B109" s="1" t="s">
        <v>200</v>
      </c>
      <c r="C109" s="31" t="s">
        <v>219</v>
      </c>
      <c r="D109" s="31" t="s">
        <v>133</v>
      </c>
      <c r="E109" s="31"/>
      <c r="F109" s="2"/>
      <c r="G109" s="2"/>
      <c r="H109" s="2"/>
    </row>
    <row r="110" spans="1:8" x14ac:dyDescent="0.15">
      <c r="A110" s="31" t="s">
        <v>220</v>
      </c>
      <c r="B110" s="1" t="s">
        <v>203</v>
      </c>
      <c r="C110" s="31" t="s">
        <v>221</v>
      </c>
      <c r="D110" s="31" t="s">
        <v>133</v>
      </c>
      <c r="E110" s="31"/>
      <c r="F110" s="2"/>
      <c r="G110" s="2"/>
      <c r="H110" s="2"/>
    </row>
    <row r="111" spans="1:8" ht="21" x14ac:dyDescent="0.15">
      <c r="A111" s="31" t="s">
        <v>222</v>
      </c>
      <c r="B111" s="1" t="s">
        <v>223</v>
      </c>
      <c r="C111" s="31" t="s">
        <v>224</v>
      </c>
      <c r="D111" s="31" t="s">
        <v>133</v>
      </c>
      <c r="E111" s="31"/>
      <c r="F111" s="2"/>
      <c r="G111" s="2"/>
      <c r="H111" s="2"/>
    </row>
    <row r="112" spans="1:8" x14ac:dyDescent="0.15">
      <c r="A112" s="31" t="s">
        <v>225</v>
      </c>
      <c r="B112" s="1" t="s">
        <v>226</v>
      </c>
      <c r="C112" s="31" t="s">
        <v>227</v>
      </c>
      <c r="D112" s="31" t="s">
        <v>133</v>
      </c>
      <c r="E112" s="31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1" t="s">
        <v>228</v>
      </c>
      <c r="B113" s="1" t="s">
        <v>200</v>
      </c>
      <c r="C113" s="31" t="s">
        <v>229</v>
      </c>
      <c r="D113" s="31" t="s">
        <v>133</v>
      </c>
      <c r="E113" s="31"/>
      <c r="F113" s="2"/>
      <c r="G113" s="2"/>
      <c r="H113" s="2"/>
    </row>
    <row r="114" spans="1:8" x14ac:dyDescent="0.15">
      <c r="A114" s="31" t="s">
        <v>230</v>
      </c>
      <c r="B114" s="1" t="s">
        <v>203</v>
      </c>
      <c r="C114" s="31" t="s">
        <v>231</v>
      </c>
      <c r="D114" s="31" t="s">
        <v>133</v>
      </c>
      <c r="E114" s="31"/>
      <c r="F114" s="2"/>
      <c r="G114" s="2"/>
      <c r="H114" s="2"/>
    </row>
    <row r="115" spans="1:8" x14ac:dyDescent="0.15">
      <c r="A115" s="31" t="s">
        <v>232</v>
      </c>
      <c r="B115" s="1" t="s">
        <v>233</v>
      </c>
      <c r="C115" s="31" t="s">
        <v>234</v>
      </c>
      <c r="D115" s="31" t="s">
        <v>133</v>
      </c>
      <c r="E115" s="31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1" t="s">
        <v>235</v>
      </c>
      <c r="B116" s="1" t="s">
        <v>200</v>
      </c>
      <c r="C116" s="31" t="s">
        <v>236</v>
      </c>
      <c r="D116" s="31" t="s">
        <v>133</v>
      </c>
      <c r="E116" s="31"/>
      <c r="F116" s="2"/>
      <c r="G116" s="2"/>
      <c r="H116" s="2"/>
    </row>
    <row r="117" spans="1:8" x14ac:dyDescent="0.15">
      <c r="A117" s="31" t="s">
        <v>237</v>
      </c>
      <c r="B117" s="1" t="s">
        <v>203</v>
      </c>
      <c r="C117" s="31" t="s">
        <v>238</v>
      </c>
      <c r="D117" s="31" t="s">
        <v>133</v>
      </c>
      <c r="E117" s="31"/>
      <c r="F117" s="2"/>
      <c r="G117" s="2"/>
      <c r="H117" s="2"/>
    </row>
    <row r="118" spans="1:8" ht="42" x14ac:dyDescent="0.15">
      <c r="A118" s="31" t="s">
        <v>239</v>
      </c>
      <c r="B118" s="1" t="s">
        <v>240</v>
      </c>
      <c r="C118" s="31" t="s">
        <v>241</v>
      </c>
      <c r="D118" s="31" t="s">
        <v>133</v>
      </c>
      <c r="E118" s="31"/>
      <c r="F118" s="10">
        <f>F119+F120+F121</f>
        <v>6813462.9000000004</v>
      </c>
      <c r="G118" s="10">
        <f t="shared" ref="G118:H118" si="21">G119+G120+G121</f>
        <v>6172592</v>
      </c>
      <c r="H118" s="10">
        <f t="shared" si="21"/>
        <v>6253810</v>
      </c>
    </row>
    <row r="119" spans="1:8" x14ac:dyDescent="0.15">
      <c r="A119" s="31" t="s">
        <v>242</v>
      </c>
      <c r="B119" s="1" t="s">
        <v>243</v>
      </c>
      <c r="C119" s="31" t="s">
        <v>244</v>
      </c>
      <c r="D119" s="14">
        <v>2024</v>
      </c>
      <c r="E119" s="31"/>
      <c r="F119" s="7">
        <f>F104</f>
        <v>6813462.9000000004</v>
      </c>
      <c r="G119" s="7">
        <f t="shared" ref="G119:H119" si="22">G104</f>
        <v>6172592</v>
      </c>
      <c r="H119" s="7">
        <f t="shared" si="22"/>
        <v>6253810</v>
      </c>
    </row>
    <row r="120" spans="1:8" x14ac:dyDescent="0.15">
      <c r="A120" s="31" t="s">
        <v>245</v>
      </c>
      <c r="B120" s="1" t="s">
        <v>243</v>
      </c>
      <c r="C120" s="31" t="s">
        <v>246</v>
      </c>
      <c r="D120" s="14">
        <v>2025</v>
      </c>
      <c r="E120" s="31"/>
      <c r="F120" s="2"/>
      <c r="G120" s="2"/>
      <c r="H120" s="2"/>
    </row>
    <row r="121" spans="1:8" x14ac:dyDescent="0.15">
      <c r="A121" s="31" t="s">
        <v>247</v>
      </c>
      <c r="B121" s="1" t="s">
        <v>243</v>
      </c>
      <c r="C121" s="31" t="s">
        <v>248</v>
      </c>
      <c r="D121" s="14">
        <v>2026</v>
      </c>
      <c r="E121" s="31"/>
      <c r="F121" s="2"/>
      <c r="G121" s="2"/>
      <c r="H121" s="2"/>
    </row>
    <row r="122" spans="1:8" ht="42" x14ac:dyDescent="0.15">
      <c r="A122" s="31" t="s">
        <v>249</v>
      </c>
      <c r="B122" s="1" t="s">
        <v>250</v>
      </c>
      <c r="C122" s="31" t="s">
        <v>251</v>
      </c>
      <c r="D122" s="14" t="s">
        <v>133</v>
      </c>
      <c r="E122" s="31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1" t="s">
        <v>252</v>
      </c>
      <c r="B123" s="1" t="s">
        <v>243</v>
      </c>
      <c r="C123" s="31" t="s">
        <v>253</v>
      </c>
      <c r="D123" s="14">
        <v>2024</v>
      </c>
      <c r="E123" s="31"/>
      <c r="F123" s="2"/>
      <c r="G123" s="2"/>
      <c r="H123" s="2"/>
    </row>
    <row r="124" spans="1:8" x14ac:dyDescent="0.15">
      <c r="A124" s="31" t="s">
        <v>254</v>
      </c>
      <c r="B124" s="1" t="s">
        <v>243</v>
      </c>
      <c r="C124" s="31" t="s">
        <v>255</v>
      </c>
      <c r="D124" s="14">
        <v>2025</v>
      </c>
      <c r="E124" s="31"/>
      <c r="F124" s="2"/>
      <c r="G124" s="2"/>
      <c r="H124" s="2"/>
    </row>
    <row r="125" spans="1:8" x14ac:dyDescent="0.15">
      <c r="A125" s="31" t="s">
        <v>256</v>
      </c>
      <c r="B125" s="1" t="s">
        <v>243</v>
      </c>
      <c r="C125" s="31" t="s">
        <v>257</v>
      </c>
      <c r="D125" s="14">
        <v>2026</v>
      </c>
      <c r="E125" s="31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5"/>
      <c r="F127" s="39" t="s">
        <v>271</v>
      </c>
      <c r="G127" s="40"/>
    </row>
    <row r="128" spans="1:8" x14ac:dyDescent="0.15">
      <c r="C128" s="36" t="s">
        <v>259</v>
      </c>
      <c r="D128" s="36"/>
      <c r="E128" s="32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4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32" t="s">
        <v>261</v>
      </c>
      <c r="F131" s="36" t="s">
        <v>262</v>
      </c>
      <c r="G131" s="36"/>
    </row>
    <row r="132" spans="1:7" ht="10.5" customHeight="1" x14ac:dyDescent="0.15">
      <c r="A132" s="37" t="s">
        <v>282</v>
      </c>
      <c r="B132" s="37"/>
    </row>
  </sheetData>
  <mergeCells count="102"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2024-09-30T10:46:29Z</cp:lastPrinted>
  <dcterms:created xsi:type="dcterms:W3CDTF">2020-09-16T13:07:09Z</dcterms:created>
  <dcterms:modified xsi:type="dcterms:W3CDTF">2025-01-31T02:53:04Z</dcterms:modified>
</cp:coreProperties>
</file>