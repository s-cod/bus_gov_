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us_gov_go\in\"/>
    </mc:Choice>
  </mc:AlternateContent>
  <xr:revisionPtr revIDLastSave="0" documentId="13_ncr:1_{58E56543-DCE9-4114-8791-94BCEF52D44D}" xr6:coauthVersionLast="47" xr6:coauthVersionMax="47" xr10:uidLastSave="{00000000-0000-0000-0000-000000000000}"/>
  <bookViews>
    <workbookView xWindow="90" yWindow="1350" windowWidth="21600" windowHeight="12390" xr2:uid="{00000000-000D-0000-FFFF-FFFF00000000}"/>
  </bookViews>
  <sheets>
    <sheet name="2025" sheetId="46" r:id="rId1"/>
    <sheet name="2025 (1)" sheetId="4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7" l="1"/>
  <c r="F35" i="47"/>
  <c r="G35" i="47"/>
  <c r="G28" i="47" l="1"/>
  <c r="H122" i="47"/>
  <c r="G122" i="47"/>
  <c r="F122" i="47"/>
  <c r="H115" i="47"/>
  <c r="G115" i="47"/>
  <c r="F115" i="47"/>
  <c r="H112" i="47"/>
  <c r="G112" i="47"/>
  <c r="F112" i="47"/>
  <c r="H108" i="47"/>
  <c r="G108" i="47"/>
  <c r="F108" i="47"/>
  <c r="H101" i="47"/>
  <c r="G101" i="47"/>
  <c r="F101" i="47"/>
  <c r="H86" i="47"/>
  <c r="G86" i="47"/>
  <c r="F86" i="47"/>
  <c r="H82" i="47"/>
  <c r="G82" i="47"/>
  <c r="F82" i="47"/>
  <c r="H79" i="47"/>
  <c r="H73" i="47" s="1"/>
  <c r="G79" i="47"/>
  <c r="G73" i="47" s="1"/>
  <c r="G106" i="47" s="1"/>
  <c r="G105" i="47" s="1"/>
  <c r="G104" i="47" s="1"/>
  <c r="F79" i="47"/>
  <c r="F73" i="47"/>
  <c r="F106" i="47" s="1"/>
  <c r="F105" i="47" s="1"/>
  <c r="F104" i="47" s="1"/>
  <c r="H71" i="47"/>
  <c r="G71" i="47"/>
  <c r="F71" i="47"/>
  <c r="H67" i="47"/>
  <c r="G67" i="47"/>
  <c r="F67" i="47"/>
  <c r="H63" i="47"/>
  <c r="G63" i="47"/>
  <c r="F63" i="47"/>
  <c r="H57" i="47"/>
  <c r="G57" i="47"/>
  <c r="F57" i="47"/>
  <c r="H51" i="47"/>
  <c r="H47" i="47" s="1"/>
  <c r="G51" i="47"/>
  <c r="G47" i="47" s="1"/>
  <c r="F51" i="47"/>
  <c r="F47" i="47" s="1"/>
  <c r="F41" i="47"/>
  <c r="H35" i="47"/>
  <c r="H30" i="47"/>
  <c r="F30" i="47"/>
  <c r="F28" i="47" s="1"/>
  <c r="G46" i="47" l="1"/>
  <c r="F46" i="47"/>
  <c r="G27" i="47"/>
  <c r="H28" i="47"/>
  <c r="F27" i="47"/>
  <c r="F98" i="47"/>
  <c r="F119" i="47"/>
  <c r="F118" i="47" s="1"/>
  <c r="H106" i="47"/>
  <c r="H105" i="47" s="1"/>
  <c r="H104" i="47" s="1"/>
  <c r="H119" i="47" s="1"/>
  <c r="H118" i="47" s="1"/>
  <c r="H46" i="47"/>
  <c r="G119" i="47"/>
  <c r="G118" i="47" s="1"/>
  <c r="G98" i="47"/>
  <c r="H122" i="46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G73" i="46" s="1"/>
  <c r="G106" i="46" s="1"/>
  <c r="G105" i="46" s="1"/>
  <c r="G104" i="46" s="1"/>
  <c r="G119" i="46" s="1"/>
  <c r="G118" i="46" s="1"/>
  <c r="F79" i="46"/>
  <c r="F73" i="46" s="1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1" i="46"/>
  <c r="H47" i="46" s="1"/>
  <c r="G51" i="46"/>
  <c r="G47" i="46" s="1"/>
  <c r="F51" i="46"/>
  <c r="F47" i="46" s="1"/>
  <c r="H30" i="46"/>
  <c r="G30" i="46"/>
  <c r="F30" i="46"/>
  <c r="H27" i="47" l="1"/>
  <c r="H98" i="47"/>
  <c r="G46" i="46"/>
  <c r="H28" i="46"/>
  <c r="G28" i="46"/>
  <c r="F28" i="46"/>
  <c r="F98" i="46"/>
  <c r="G98" i="46"/>
  <c r="F46" i="46"/>
  <c r="H46" i="46"/>
  <c r="H98" i="46"/>
</calcChain>
</file>

<file path=xl/sharedStrings.xml><?xml version="1.0" encoding="utf-8"?>
<sst xmlns="http://schemas.openxmlformats.org/spreadsheetml/2006/main" count="765" uniqueCount="286">
  <si>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</si>
  <si>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</si>
  <si>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</si>
  <si>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</si>
  <si>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</si>
  <si>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</si>
  <si>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</si>
  <si>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</si>
  <si>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</si>
  <si>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</si>
  <si>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</si>
  <si>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</si>
  <si>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</si>
  <si>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</si>
  <si>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</si>
  <si>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</si>
  <si>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</si>
  <si>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</si>
  <si>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</si>
  <si>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</si>
  <si>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</si>
  <si>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</si>
  <si>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</si>
  <si>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</si>
  <si>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</si>
  <si>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</si>
  <si>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</si>
  <si>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</si>
  <si>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</si>
  <si>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</si>
  <si>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</si>
  <si>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</si>
  <si>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</si>
  <si>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</si>
  <si>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</si>
  <si>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</si>
  <si>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</si>
  <si>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</si>
  <si>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</si>
  <si>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</si>
  <si>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</si>
  <si>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</si>
  <si>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</si>
  <si>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</si>
  <si>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</si>
  <si>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</si>
  <si>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</si>
  <si>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</si>
  <si>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</si>
  <si>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</si>
  <si>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</si>
  <si>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</si>
  <si>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</si>
  <si>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</si>
  <si>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</si>
  <si>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</si>
  <si>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</si>
  <si>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</si>
  <si>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</si>
  <si>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</si>
  <si>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</si>
  <si>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</si>
  <si>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</si>
  <si>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</si>
  <si>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</si>
  <si>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</si>
  <si>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</si>
  <si>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</si>
  <si>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</si>
  <si>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</si>
  <si>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</si>
  <si>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</si>
  <si>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</si>
  <si>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</si>
  <si>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</si>
  <si>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</si>
  <si>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</si>
  <si>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</si>
  <si>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</si>
  <si>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</si>
  <si>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</si>
  <si>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</si>
  <si>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</si>
  <si>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</si>
  <si>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</si>
  <si>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</si>
  <si>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</si>
  <si>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</si>
  <si>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</si>
  <si>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</si>
  <si>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</si>
  <si>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</si>
  <si>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</si>
  <si>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</si>
  <si>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</si>
  <si>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</si>
  <si>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</si>
  <si>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</si>
  <si>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</si>
  <si>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</si>
  <si>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</si>
  <si>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</si>
  <si>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</si>
  <si>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</si>
  <si>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</si>
  <si>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</si>
  <si>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</si>
  <si>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</si>
  <si>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</si>
  <si>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</si>
  <si>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</si>
  <si>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</si>
  <si>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</si>
  <si>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</si>
  <si>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</si>
  <si>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</si>
  <si>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</si>
  <si>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</si>
  <si>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</si>
  <si>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</si>
  <si>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</si>
  <si>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</si>
  <si>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</si>
  <si>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</si>
  <si>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</si>
  <si>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</si>
  <si>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</si>
  <si>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</si>
  <si>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</si>
  <si>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</si>
  <si>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</si>
  <si>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</si>
  <si>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</si>
  <si>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</si>
  <si>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</si>
  <si>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</si>
  <si>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</si>
  <si>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</si>
  <si>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</si>
  <si>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</si>
  <si>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</si>
  <si>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</si>
  <si>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</si>
  <si>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</si>
  <si>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</si>
  <si>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</si>
  <si>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</si>
  <si>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</si>
  <si>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</si>
  <si>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</si>
  <si>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</si>
  <si>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</si>
  <si>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</si>
  <si>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</si>
  <si>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</si>
  <si>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</si>
  <si>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</si>
  <si>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</si>
  <si>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</si>
  <si>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</si>
  <si>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</si>
  <si>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</si>
  <si>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</si>
  <si>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</si>
  <si>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</si>
  <si>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</si>
  <si>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</si>
  <si>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</si>
  <si>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</si>
  <si>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</si>
  <si>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</si>
  <si>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</si>
  <si>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</si>
  <si>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</si>
  <si>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</si>
  <si>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</si>
  <si>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</si>
  <si>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</si>
  <si>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</si>
  <si>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</si>
  <si>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</si>
  <si>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</si>
  <si>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</si>
  <si>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</si>
  <si>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</si>
  <si>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</si>
  <si>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</si>
  <si>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</si>
  <si>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</si>
  <si>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</si>
  <si>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</si>
  <si>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</si>
  <si>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</si>
  <si>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</si>
  <si>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</si>
  <si>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</si>
  <si>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</si>
  <si>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</si>
  <si>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</si>
  <si>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</si>
  <si>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</si>
  <si>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</si>
  <si>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</si>
  <si>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</si>
  <si>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</si>
  <si>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</si>
  <si>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</si>
  <si>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</si>
  <si>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</si>
  <si>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</si>
  <si>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</si>
  <si>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</si>
  <si>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</si>
  <si>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</si>
  <si>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</si>
  <si>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</si>
  <si>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</si>
  <si>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</si>
  <si>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</si>
  <si>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</si>
  <si>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</si>
  <si>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</si>
  <si>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</si>
  <si>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</si>
  <si>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</si>
  <si>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</si>
  <si>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</si>
  <si>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</si>
  <si>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</si>
  <si>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</si>
  <si>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</si>
  <si>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</si>
  <si>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</si>
  <si>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</si>
  <si>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</si>
  <si>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</si>
  <si>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</si>
  <si>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</si>
  <si>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</si>
  <si>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</si>
  <si>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</si>
  <si>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</si>
  <si>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</si>
  <si>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</si>
  <si>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</si>
  <si>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</si>
  <si>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</si>
  <si>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</si>
  <si>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</si>
  <si>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</si>
  <si>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</si>
  <si>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</si>
  <si>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</si>
  <si>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</si>
  <si>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</si>
  <si>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</si>
  <si>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</si>
  <si>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</si>
  <si>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</si>
  <si>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</si>
  <si>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</si>
  <si>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</si>
  <si>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</si>
  <si>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</si>
  <si>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</si>
  <si>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</si>
  <si>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</si>
  <si>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</si>
  <si>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</si>
  <si>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</si>
  <si>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"Алексеевская средняя общеобразовательная школа" </t>
  </si>
  <si>
    <t>К.М.Таужанов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</si>
  <si>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</si>
  <si>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</si>
  <si>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</si>
  <si>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</si>
  <si>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 31_" ______декабря_________ 2024_ г.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</si>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</sst>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61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18" borderId="18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center" vertical="center" wrapText="1"/>
    </xf>
    <xf numFmtId="4" fontId="3" fillId="18" borderId="21" xfId="0" applyNumberFormat="1" applyFont="1" applyFill="1" applyBorder="1" applyAlignment="1">
      <alignment horizontal="right" vertical="center" wrapText="1" indent="1"/>
    </xf>
    <xf numFmtId="0" fontId="8" fillId="9" borderId="21" xfId="0" applyFont="1" applyFill="1" applyBorder="1" applyAlignment="1">
      <alignment horizontal="center" vertical="center" wrapText="1"/>
    </xf>
    <xf numFmtId="0" fontId="0" fillId="2" borderId="15" xfId="0" applyBorder="1">
      <alignment horizontal="left" vertical="center"/>
    </xf>
    <xf numFmtId="0" fontId="8" fillId="9" borderId="1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66-8D84-4C81-BF5B-369309FB6BA0}">
  <sheetPr>
    <pageSetUpPr fitToPage="1"/>
  </sheetPr>
  <dimension ref="A1:J132"/>
  <sheetViews>
    <sheetView tabSelected="1" topLeftCell="A59" workbookViewId="0">
      <selection activeCell="F53" sqref="F53:H62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3.140625" hidden="1" customWidth="1"/>
  </cols>
  <sheetData>
    <row r="1" spans="2:9" ht="9" customHeight="1" x14ac:dyDescent="0.15"/>
    <row r="2" spans="2:9" ht="19.5" customHeight="1" x14ac:dyDescent="0.15">
      <c r="G2" s="47" t="s">
        <v>0</v>
      </c>
      <c r="H2" s="47"/>
      <c r="I2" s="47"/>
    </row>
    <row r="3" spans="2:9" ht="21" customHeight="1" x14ac:dyDescent="0.15">
      <c r="G3" s="55" t="s">
        <v>273</v>
      </c>
      <c r="H3" s="55"/>
      <c r="I3" s="55"/>
    </row>
    <row r="4" spans="2:9" ht="15" customHeight="1" x14ac:dyDescent="0.15">
      <c r="G4" s="56" t="s">
        <v>1</v>
      </c>
      <c r="H4" s="56"/>
      <c r="I4" s="56"/>
    </row>
    <row r="5" spans="2:9" ht="18" customHeight="1" x14ac:dyDescent="0.15">
      <c r="G5" s="20"/>
      <c r="H5" s="55" t="s">
        <v>272</v>
      </c>
      <c r="I5" s="55"/>
    </row>
    <row r="6" spans="2:9" ht="15" customHeight="1" x14ac:dyDescent="0.15">
      <c r="G6" s="21" t="s">
        <v>2</v>
      </c>
      <c r="H6" s="56" t="s">
        <v>3</v>
      </c>
      <c r="I6" s="56"/>
    </row>
    <row r="7" spans="2:9" ht="30" customHeight="1" x14ac:dyDescent="0.15">
      <c r="G7" s="43" t="s">
        <v>277</v>
      </c>
      <c r="H7" s="43"/>
      <c r="I7" s="43"/>
    </row>
    <row r="8" spans="2:9" ht="20.100000000000001" customHeight="1" x14ac:dyDescent="0.15">
      <c r="G8" s="43" t="s">
        <v>4</v>
      </c>
      <c r="H8" s="43"/>
      <c r="I8" s="43"/>
    </row>
    <row r="9" spans="2:9" ht="9.75" customHeight="1" x14ac:dyDescent="0.15"/>
    <row r="10" spans="2:9" ht="20.25" customHeight="1" x14ac:dyDescent="0.15">
      <c r="B10" s="58" t="s">
        <v>5</v>
      </c>
      <c r="C10" s="58"/>
      <c r="D10" s="58"/>
      <c r="E10" s="58"/>
      <c r="F10" s="58"/>
      <c r="G10" s="58"/>
      <c r="H10" s="11"/>
      <c r="I10" s="11"/>
    </row>
    <row r="11" spans="2:9" ht="30" customHeight="1" x14ac:dyDescent="0.15">
      <c r="B11" s="58" t="s">
        <v>278</v>
      </c>
      <c r="C11" s="58"/>
      <c r="D11" s="58"/>
      <c r="E11" s="58"/>
      <c r="F11" s="58"/>
      <c r="G11" s="58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/>
    </row>
    <row r="13" spans="2:9" ht="18.75" customHeight="1" x14ac:dyDescent="0.15">
      <c r="C13" s="13" t="s">
        <v>7</v>
      </c>
      <c r="D13" s="59" t="s">
        <v>279</v>
      </c>
      <c r="E13" s="59"/>
      <c r="F13" s="59"/>
      <c r="G13" s="13" t="s">
        <v>8</v>
      </c>
      <c r="H13" s="14" t="s">
        <v>280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60" t="s">
        <v>264</v>
      </c>
      <c r="D15" s="60"/>
      <c r="E15" s="60"/>
      <c r="F15" s="60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52320527</v>
      </c>
      <c r="I16" s="23"/>
    </row>
    <row r="17" spans="1:10" ht="18.75" customHeight="1" x14ac:dyDescent="0.15">
      <c r="G17" s="25" t="s">
        <v>12</v>
      </c>
      <c r="H17" s="6">
        <v>5512004631</v>
      </c>
      <c r="I17" s="23"/>
    </row>
    <row r="18" spans="1:10" ht="30.75" customHeight="1" x14ac:dyDescent="0.15">
      <c r="B18" s="4" t="s">
        <v>13</v>
      </c>
      <c r="C18" s="60" t="s">
        <v>270</v>
      </c>
      <c r="D18" s="60"/>
      <c r="E18" s="60"/>
      <c r="F18" s="60"/>
      <c r="G18" s="25" t="s">
        <v>14</v>
      </c>
      <c r="H18" s="6">
        <v>551201001</v>
      </c>
      <c r="I18" s="23"/>
    </row>
    <row r="19" spans="1:10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10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10" ht="30.75" customHeight="1" x14ac:dyDescent="0.15">
      <c r="B21" s="47" t="s">
        <v>19</v>
      </c>
      <c r="C21" s="47"/>
      <c r="D21" s="47"/>
      <c r="E21" s="47"/>
      <c r="F21" s="47"/>
      <c r="G21" s="47"/>
      <c r="H21" s="47"/>
    </row>
    <row r="22" spans="1:10" ht="18" customHeight="1" x14ac:dyDescent="0.15"/>
    <row r="23" spans="1:10" ht="19.5" customHeight="1" x14ac:dyDescent="0.15">
      <c r="A23" s="57" t="s">
        <v>20</v>
      </c>
      <c r="B23" s="57"/>
      <c r="C23" s="54" t="s">
        <v>21</v>
      </c>
      <c r="D23" s="54" t="s">
        <v>22</v>
      </c>
      <c r="E23" s="54" t="s">
        <v>23</v>
      </c>
      <c r="F23" s="54" t="s">
        <v>24</v>
      </c>
      <c r="G23" s="54"/>
      <c r="H23" s="54"/>
    </row>
    <row r="24" spans="1:10" ht="27" customHeight="1" x14ac:dyDescent="0.15">
      <c r="A24" s="57"/>
      <c r="B24" s="57"/>
      <c r="C24" s="54"/>
      <c r="D24" s="54"/>
      <c r="E24" s="54"/>
      <c r="F24" s="14" t="s">
        <v>274</v>
      </c>
      <c r="G24" s="14" t="s">
        <v>275</v>
      </c>
      <c r="H24" s="14" t="s">
        <v>281</v>
      </c>
    </row>
    <row r="25" spans="1:10" ht="16.5" customHeight="1" x14ac:dyDescent="0.15">
      <c r="A25" s="54">
        <v>1</v>
      </c>
      <c r="B25" s="54"/>
      <c r="C25" s="22">
        <v>2</v>
      </c>
      <c r="D25" s="22">
        <v>3</v>
      </c>
      <c r="E25" s="22">
        <v>4</v>
      </c>
      <c r="F25" s="37">
        <v>5</v>
      </c>
      <c r="G25" s="37">
        <v>6</v>
      </c>
      <c r="H25" s="37">
        <v>7</v>
      </c>
    </row>
    <row r="26" spans="1:10" ht="16.5" customHeight="1" x14ac:dyDescent="0.15">
      <c r="A26" s="52" t="s">
        <v>25</v>
      </c>
      <c r="B26" s="52"/>
      <c r="C26" s="14" t="s">
        <v>26</v>
      </c>
      <c r="D26" s="14" t="s">
        <v>27</v>
      </c>
      <c r="E26" s="36" t="s">
        <v>27</v>
      </c>
      <c r="F26" s="16"/>
      <c r="G26" s="9"/>
      <c r="H26" s="9"/>
      <c r="I26" s="41"/>
      <c r="J26" s="40"/>
    </row>
    <row r="27" spans="1:10" ht="16.5" customHeight="1" x14ac:dyDescent="0.15">
      <c r="A27" s="52" t="s">
        <v>29</v>
      </c>
      <c r="B27" s="52"/>
      <c r="C27" s="14" t="s">
        <v>30</v>
      </c>
      <c r="D27" s="14" t="s">
        <v>27</v>
      </c>
      <c r="E27" s="14" t="s">
        <v>27</v>
      </c>
      <c r="F27" s="38"/>
      <c r="G27" s="38"/>
      <c r="H27" s="38"/>
      <c r="I27" s="39"/>
      <c r="J27" s="40"/>
    </row>
    <row r="28" spans="1:10" ht="16.5" customHeight="1" x14ac:dyDescent="0.15">
      <c r="A28" s="52" t="s">
        <v>31</v>
      </c>
      <c r="B28" s="52"/>
      <c r="C28" s="14" t="s">
        <v>32</v>
      </c>
      <c r="D28" s="14"/>
      <c r="E28" s="14"/>
      <c r="F28" s="16">
        <f>F29+F30+F34+F35+F39+F40+F41</f>
        <v>26310898</v>
      </c>
      <c r="G28" s="9">
        <f t="shared" ref="G28:H28" si="0">G29+G30+G34+G35+G39+G40</f>
        <v>25035176</v>
      </c>
      <c r="H28" s="9">
        <f t="shared" si="0"/>
        <v>25147522.969999999</v>
      </c>
      <c r="I28" s="23"/>
    </row>
    <row r="29" spans="1:10" ht="21.75" customHeight="1" x14ac:dyDescent="0.15">
      <c r="A29" s="52" t="s">
        <v>33</v>
      </c>
      <c r="B29" s="52"/>
      <c r="C29" s="17" t="s">
        <v>34</v>
      </c>
      <c r="D29" s="14" t="s">
        <v>35</v>
      </c>
      <c r="E29" s="14"/>
      <c r="F29" s="15">
        <v>0</v>
      </c>
      <c r="G29" s="7"/>
      <c r="H29" s="7"/>
      <c r="I29" s="23"/>
    </row>
    <row r="30" spans="1:10" ht="18.75" customHeight="1" x14ac:dyDescent="0.15">
      <c r="A30" s="52" t="s">
        <v>36</v>
      </c>
      <c r="B30" s="52"/>
      <c r="C30" s="17" t="s">
        <v>37</v>
      </c>
      <c r="D30" s="14" t="s">
        <v>38</v>
      </c>
      <c r="E30" s="14"/>
      <c r="F30" s="16">
        <f>F31+F32+F33</f>
        <v>26310898</v>
      </c>
      <c r="G30" s="9">
        <f t="shared" ref="G30:H30" si="1">G31+G32+G33</f>
        <v>25035176</v>
      </c>
      <c r="H30" s="9">
        <f t="shared" si="1"/>
        <v>25147522.969999999</v>
      </c>
      <c r="I30" s="23"/>
    </row>
    <row r="31" spans="1:10" ht="46.5" customHeight="1" x14ac:dyDescent="0.15">
      <c r="A31" s="52" t="s">
        <v>39</v>
      </c>
      <c r="B31" s="52"/>
      <c r="C31" s="14" t="s">
        <v>40</v>
      </c>
      <c r="D31" s="14" t="s">
        <v>38</v>
      </c>
      <c r="E31" s="14"/>
      <c r="F31" s="18">
        <v>26310898</v>
      </c>
      <c r="G31" s="7">
        <v>25035176</v>
      </c>
      <c r="H31" s="7">
        <v>25147522.969999999</v>
      </c>
      <c r="I31" s="23"/>
    </row>
    <row r="32" spans="1:10" ht="34.5" customHeight="1" x14ac:dyDescent="0.15">
      <c r="A32" s="52" t="s">
        <v>41</v>
      </c>
      <c r="B32" s="52"/>
      <c r="C32" s="14" t="s">
        <v>42</v>
      </c>
      <c r="D32" s="14" t="s">
        <v>38</v>
      </c>
      <c r="E32" s="14"/>
      <c r="F32" s="15"/>
      <c r="G32" s="7"/>
      <c r="H32" s="7"/>
      <c r="I32" s="23"/>
    </row>
    <row r="33" spans="1:9" ht="21.75" customHeight="1" x14ac:dyDescent="0.15">
      <c r="A33" s="53" t="s">
        <v>263</v>
      </c>
      <c r="B33" s="52"/>
      <c r="C33" s="14">
        <v>1230</v>
      </c>
      <c r="D33" s="14">
        <v>130</v>
      </c>
      <c r="E33" s="14"/>
      <c r="F33" s="18"/>
      <c r="G33" s="7"/>
      <c r="H33" s="7"/>
      <c r="I33" s="22"/>
    </row>
    <row r="34" spans="1:9" ht="19.5" customHeight="1" x14ac:dyDescent="0.15">
      <c r="A34" s="52" t="s">
        <v>43</v>
      </c>
      <c r="B34" s="52"/>
      <c r="C34" s="17" t="s">
        <v>44</v>
      </c>
      <c r="D34" s="14" t="s">
        <v>45</v>
      </c>
      <c r="E34" s="14"/>
      <c r="F34" s="16"/>
      <c r="G34" s="7"/>
      <c r="H34" s="7"/>
      <c r="I34" s="23"/>
    </row>
    <row r="35" spans="1:9" ht="19.5" customHeight="1" x14ac:dyDescent="0.15">
      <c r="A35" s="52" t="s">
        <v>46</v>
      </c>
      <c r="B35" s="52"/>
      <c r="C35" s="17" t="s">
        <v>47</v>
      </c>
      <c r="D35" s="14" t="s">
        <v>48</v>
      </c>
      <c r="E35" s="14"/>
      <c r="F35" s="9"/>
      <c r="G35" s="9"/>
      <c r="H35" s="9"/>
      <c r="I35" s="23"/>
    </row>
    <row r="36" spans="1:9" ht="19.5" customHeight="1" x14ac:dyDescent="0.15">
      <c r="A36" s="52" t="s">
        <v>49</v>
      </c>
      <c r="B36" s="52"/>
      <c r="C36" s="14" t="s">
        <v>50</v>
      </c>
      <c r="D36" s="14" t="s">
        <v>48</v>
      </c>
      <c r="E36" s="14"/>
      <c r="F36" s="18"/>
      <c r="G36" s="7"/>
      <c r="H36" s="7"/>
      <c r="I36" s="23"/>
    </row>
    <row r="37" spans="1:9" ht="19.5" customHeight="1" x14ac:dyDescent="0.15">
      <c r="A37" s="52" t="s">
        <v>51</v>
      </c>
      <c r="B37" s="52"/>
      <c r="C37" s="14" t="s">
        <v>52</v>
      </c>
      <c r="D37" s="14" t="s">
        <v>48</v>
      </c>
      <c r="E37" s="14"/>
      <c r="F37" s="15"/>
      <c r="G37" s="7"/>
      <c r="H37" s="7"/>
      <c r="I37" s="23"/>
    </row>
    <row r="38" spans="1:9" ht="19.5" customHeight="1" x14ac:dyDescent="0.15">
      <c r="A38" s="53" t="s">
        <v>263</v>
      </c>
      <c r="B38" s="52"/>
      <c r="C38" s="14">
        <v>1430</v>
      </c>
      <c r="D38" s="14">
        <v>150</v>
      </c>
      <c r="E38" s="14"/>
      <c r="F38" s="15"/>
      <c r="G38" s="7"/>
      <c r="H38" s="7"/>
      <c r="I38" s="22"/>
    </row>
    <row r="39" spans="1:9" ht="19.5" customHeight="1" x14ac:dyDescent="0.15">
      <c r="A39" s="52" t="s">
        <v>53</v>
      </c>
      <c r="B39" s="52"/>
      <c r="C39" s="17" t="s">
        <v>54</v>
      </c>
      <c r="D39" s="19" t="s">
        <v>55</v>
      </c>
      <c r="E39" s="14"/>
      <c r="F39" s="16"/>
      <c r="G39" s="7"/>
      <c r="H39" s="7"/>
      <c r="I39" s="23"/>
    </row>
    <row r="40" spans="1:9" ht="19.5" customHeight="1" x14ac:dyDescent="0.15">
      <c r="A40" s="52" t="s">
        <v>56</v>
      </c>
      <c r="B40" s="52"/>
      <c r="C40" s="17" t="s">
        <v>57</v>
      </c>
      <c r="D40" s="14"/>
      <c r="E40" s="14"/>
      <c r="F40" s="15"/>
      <c r="G40" s="7"/>
      <c r="H40" s="7"/>
      <c r="I40" s="23"/>
    </row>
    <row r="41" spans="1:9" ht="19.5" customHeight="1" x14ac:dyDescent="0.15">
      <c r="A41" s="52" t="s">
        <v>58</v>
      </c>
      <c r="B41" s="52"/>
      <c r="C41" s="17" t="s">
        <v>59</v>
      </c>
      <c r="D41" s="14" t="s">
        <v>27</v>
      </c>
      <c r="E41" s="14"/>
      <c r="F41" s="15"/>
      <c r="G41" s="7"/>
      <c r="H41" s="7"/>
      <c r="I41" s="23"/>
    </row>
    <row r="42" spans="1:9" ht="35.25" customHeight="1" x14ac:dyDescent="0.15">
      <c r="A42" s="52" t="s">
        <v>60</v>
      </c>
      <c r="B42" s="52"/>
      <c r="C42" s="14" t="s">
        <v>61</v>
      </c>
      <c r="D42" s="14" t="s">
        <v>62</v>
      </c>
      <c r="E42" s="14"/>
      <c r="F42" s="15"/>
      <c r="G42" s="7"/>
      <c r="H42" s="7"/>
      <c r="I42" s="23"/>
    </row>
    <row r="43" spans="1:9" ht="35.25" customHeight="1" x14ac:dyDescent="0.15">
      <c r="A43" s="52" t="s">
        <v>63</v>
      </c>
      <c r="B43" s="52"/>
      <c r="C43" s="14" t="s">
        <v>64</v>
      </c>
      <c r="D43" s="14" t="s">
        <v>62</v>
      </c>
      <c r="E43" s="14"/>
      <c r="F43" s="15"/>
      <c r="G43" s="7"/>
      <c r="H43" s="7"/>
      <c r="I43" s="23"/>
    </row>
    <row r="44" spans="1:9" ht="22.5" customHeight="1" x14ac:dyDescent="0.15">
      <c r="A44" s="52" t="s">
        <v>65</v>
      </c>
      <c r="B44" s="52"/>
      <c r="C44" s="14" t="s">
        <v>66</v>
      </c>
      <c r="D44" s="14" t="s">
        <v>62</v>
      </c>
      <c r="E44" s="14"/>
      <c r="F44" s="18"/>
      <c r="G44" s="7"/>
      <c r="H44" s="7"/>
      <c r="I44" s="23"/>
    </row>
    <row r="45" spans="1:9" ht="27.75" customHeight="1" x14ac:dyDescent="0.15">
      <c r="A45" s="52" t="s">
        <v>67</v>
      </c>
      <c r="B45" s="52"/>
      <c r="C45" s="14" t="s">
        <v>68</v>
      </c>
      <c r="D45" s="14" t="s">
        <v>62</v>
      </c>
      <c r="E45" s="14"/>
      <c r="F45" s="18"/>
      <c r="G45" s="7"/>
      <c r="H45" s="7"/>
      <c r="I45" s="23"/>
    </row>
    <row r="46" spans="1:9" ht="18" customHeight="1" x14ac:dyDescent="0.15">
      <c r="A46" s="52" t="s">
        <v>69</v>
      </c>
      <c r="B46" s="52"/>
      <c r="C46" s="22" t="s">
        <v>70</v>
      </c>
      <c r="D46" s="22" t="s">
        <v>27</v>
      </c>
      <c r="E46" s="22"/>
      <c r="F46" s="9">
        <f>F47+F57+F63+F67+F71+F73</f>
        <v>26310898</v>
      </c>
      <c r="G46" s="9">
        <f t="shared" ref="G46:H46" si="2">G47+G57+G63+G67+G71+G73</f>
        <v>25035176</v>
      </c>
      <c r="H46" s="9">
        <f t="shared" si="2"/>
        <v>25147522.969999999</v>
      </c>
      <c r="I46" s="23"/>
    </row>
    <row r="47" spans="1:9" ht="26.25" customHeight="1" x14ac:dyDescent="0.15">
      <c r="A47" s="52" t="s">
        <v>71</v>
      </c>
      <c r="B47" s="52"/>
      <c r="C47" s="22" t="s">
        <v>72</v>
      </c>
      <c r="D47" s="22" t="s">
        <v>27</v>
      </c>
      <c r="E47" s="22"/>
      <c r="F47" s="9">
        <f>F48+F49+F50+F51+F54+F55+F56</f>
        <v>16683360</v>
      </c>
      <c r="G47" s="9">
        <f t="shared" ref="G47:H47" si="3">G48+G49+G50+G51+G54+G55+G56</f>
        <v>16683360</v>
      </c>
      <c r="H47" s="9">
        <f t="shared" si="3"/>
        <v>16683360</v>
      </c>
      <c r="I47" s="23"/>
    </row>
    <row r="48" spans="1:9" ht="24" customHeight="1" x14ac:dyDescent="0.15">
      <c r="A48" s="52" t="s">
        <v>73</v>
      </c>
      <c r="B48" s="52"/>
      <c r="C48" s="22" t="s">
        <v>74</v>
      </c>
      <c r="D48" s="22" t="s">
        <v>75</v>
      </c>
      <c r="E48" s="22"/>
      <c r="F48" s="7">
        <v>12851650</v>
      </c>
      <c r="G48" s="7">
        <v>12851650</v>
      </c>
      <c r="H48" s="7">
        <v>12851650</v>
      </c>
      <c r="I48" s="23"/>
    </row>
    <row r="49" spans="1:9" ht="17.25" customHeight="1" x14ac:dyDescent="0.15">
      <c r="A49" s="52" t="s">
        <v>76</v>
      </c>
      <c r="B49" s="52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/>
    </row>
    <row r="50" spans="1:9" ht="33" customHeight="1" x14ac:dyDescent="0.15">
      <c r="A50" s="52" t="s">
        <v>79</v>
      </c>
      <c r="B50" s="52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/>
    </row>
    <row r="51" spans="1:9" ht="28.5" customHeight="1" x14ac:dyDescent="0.15">
      <c r="A51" s="52" t="s">
        <v>82</v>
      </c>
      <c r="B51" s="52"/>
      <c r="C51" s="22" t="s">
        <v>83</v>
      </c>
      <c r="D51" s="22" t="s">
        <v>84</v>
      </c>
      <c r="E51" s="22"/>
      <c r="F51" s="9">
        <f>F52+F53</f>
        <v>3831710</v>
      </c>
      <c r="G51" s="9">
        <f t="shared" ref="G51:H51" si="4">G52+G53</f>
        <v>3831710</v>
      </c>
      <c r="H51" s="9">
        <f t="shared" si="4"/>
        <v>3831710</v>
      </c>
      <c r="I51" s="23"/>
    </row>
    <row r="52" spans="1:9" ht="24" customHeight="1" x14ac:dyDescent="0.15">
      <c r="A52" s="52" t="s">
        <v>85</v>
      </c>
      <c r="B52" s="52"/>
      <c r="C52" s="22" t="s">
        <v>86</v>
      </c>
      <c r="D52" s="22" t="s">
        <v>84</v>
      </c>
      <c r="E52" s="22"/>
      <c r="F52" s="7">
        <v>3831710</v>
      </c>
      <c r="G52" s="7">
        <v>3831710</v>
      </c>
      <c r="H52" s="7">
        <v>3831710</v>
      </c>
      <c r="I52" s="23"/>
    </row>
    <row r="53" spans="1:9" ht="17.25" customHeight="1" x14ac:dyDescent="0.15">
      <c r="A53" s="52" t="s">
        <v>87</v>
      </c>
      <c r="B53" s="52"/>
      <c r="C53" s="22" t="s">
        <v>88</v>
      </c>
      <c r="D53" s="22" t="s">
        <v>84</v>
      </c>
      <c r="E53" s="22"/>
      <c r="F53" s="7"/>
      <c r="G53" s="7"/>
      <c r="H53" s="7"/>
      <c r="I53" s="23"/>
    </row>
    <row r="54" spans="1:9" ht="24.75" customHeight="1" x14ac:dyDescent="0.15">
      <c r="A54" s="52" t="s">
        <v>89</v>
      </c>
      <c r="B54" s="52"/>
      <c r="C54" s="22" t="s">
        <v>90</v>
      </c>
      <c r="D54" s="22" t="s">
        <v>91</v>
      </c>
      <c r="E54" s="22"/>
      <c r="F54" s="7"/>
      <c r="G54" s="7"/>
      <c r="H54" s="7"/>
      <c r="I54" s="23"/>
    </row>
    <row r="55" spans="1:9" ht="27" customHeight="1" x14ac:dyDescent="0.15">
      <c r="A55" s="52" t="s">
        <v>92</v>
      </c>
      <c r="B55" s="52"/>
      <c r="C55" s="22" t="s">
        <v>93</v>
      </c>
      <c r="D55" s="22" t="s">
        <v>94</v>
      </c>
      <c r="E55" s="22"/>
      <c r="F55" s="7"/>
      <c r="G55" s="7"/>
      <c r="H55" s="7"/>
      <c r="I55" s="23"/>
    </row>
    <row r="56" spans="1:9" ht="26.25" customHeight="1" x14ac:dyDescent="0.15">
      <c r="A56" s="52" t="s">
        <v>95</v>
      </c>
      <c r="B56" s="52"/>
      <c r="C56" s="22" t="s">
        <v>96</v>
      </c>
      <c r="D56" s="22" t="s">
        <v>97</v>
      </c>
      <c r="E56" s="22"/>
      <c r="F56" s="7"/>
      <c r="G56" s="7"/>
      <c r="H56" s="7"/>
      <c r="I56" s="23"/>
    </row>
    <row r="57" spans="1:9" ht="24.75" customHeight="1" x14ac:dyDescent="0.15">
      <c r="A57" s="52" t="s">
        <v>98</v>
      </c>
      <c r="B57" s="52"/>
      <c r="C57" s="22" t="s">
        <v>99</v>
      </c>
      <c r="D57" s="22" t="s">
        <v>100</v>
      </c>
      <c r="E57" s="22"/>
      <c r="F57" s="9"/>
      <c r="G57" s="9"/>
      <c r="H57" s="9"/>
      <c r="I57" s="23"/>
    </row>
    <row r="58" spans="1:9" ht="33.75" customHeight="1" x14ac:dyDescent="0.15">
      <c r="A58" s="52" t="s">
        <v>101</v>
      </c>
      <c r="B58" s="52"/>
      <c r="C58" s="22" t="s">
        <v>102</v>
      </c>
      <c r="D58" s="22" t="s">
        <v>103</v>
      </c>
      <c r="E58" s="22"/>
      <c r="F58" s="7"/>
      <c r="G58" s="7"/>
      <c r="H58" s="7"/>
      <c r="I58" s="23"/>
    </row>
    <row r="59" spans="1:9" ht="41.25" customHeight="1" x14ac:dyDescent="0.15">
      <c r="A59" s="52" t="s">
        <v>104</v>
      </c>
      <c r="B59" s="52"/>
      <c r="C59" s="22" t="s">
        <v>105</v>
      </c>
      <c r="D59" s="22" t="s">
        <v>106</v>
      </c>
      <c r="E59" s="22"/>
      <c r="F59" s="7"/>
      <c r="G59" s="7"/>
      <c r="H59" s="7"/>
      <c r="I59" s="23"/>
    </row>
    <row r="60" spans="1:9" ht="33.75" customHeight="1" x14ac:dyDescent="0.15">
      <c r="A60" s="52" t="s">
        <v>107</v>
      </c>
      <c r="B60" s="52"/>
      <c r="C60" s="22" t="s">
        <v>108</v>
      </c>
      <c r="D60" s="22" t="s">
        <v>109</v>
      </c>
      <c r="E60" s="22"/>
      <c r="F60" s="7"/>
      <c r="G60" s="7"/>
      <c r="H60" s="7"/>
      <c r="I60" s="23"/>
    </row>
    <row r="61" spans="1:9" ht="46.5" customHeight="1" x14ac:dyDescent="0.15">
      <c r="A61" s="52" t="s">
        <v>110</v>
      </c>
      <c r="B61" s="52"/>
      <c r="C61" s="22" t="s">
        <v>111</v>
      </c>
      <c r="D61" s="22" t="s">
        <v>112</v>
      </c>
      <c r="E61" s="22"/>
      <c r="F61" s="7"/>
      <c r="G61" s="7"/>
      <c r="H61" s="7"/>
      <c r="I61" s="23"/>
    </row>
    <row r="62" spans="1:9" ht="24.75" customHeight="1" x14ac:dyDescent="0.15">
      <c r="A62" s="52" t="s">
        <v>113</v>
      </c>
      <c r="B62" s="52"/>
      <c r="C62" s="22" t="s">
        <v>114</v>
      </c>
      <c r="D62" s="22" t="s">
        <v>115</v>
      </c>
      <c r="E62" s="22"/>
      <c r="F62" s="7"/>
      <c r="G62" s="7"/>
      <c r="H62" s="7"/>
      <c r="I62" s="23"/>
    </row>
    <row r="63" spans="1:9" ht="19.5" customHeight="1" x14ac:dyDescent="0.15">
      <c r="A63" s="52" t="s">
        <v>116</v>
      </c>
      <c r="B63" s="52"/>
      <c r="C63" s="22" t="s">
        <v>117</v>
      </c>
      <c r="D63" s="22" t="s">
        <v>118</v>
      </c>
      <c r="E63" s="22"/>
      <c r="F63" s="9">
        <f>F64+F65+F66</f>
        <v>52377</v>
      </c>
      <c r="G63" s="9">
        <f t="shared" ref="G63:H63" si="5">G64+G65+G66</f>
        <v>52377</v>
      </c>
      <c r="H63" s="9">
        <f t="shared" si="5"/>
        <v>52377</v>
      </c>
      <c r="I63" s="23"/>
    </row>
    <row r="64" spans="1:9" ht="24" customHeight="1" x14ac:dyDescent="0.15">
      <c r="A64" s="52" t="s">
        <v>119</v>
      </c>
      <c r="B64" s="52"/>
      <c r="C64" s="22" t="s">
        <v>120</v>
      </c>
      <c r="D64" s="22" t="s">
        <v>121</v>
      </c>
      <c r="E64" s="22"/>
      <c r="F64" s="7">
        <v>47793</v>
      </c>
      <c r="G64" s="7">
        <v>47793</v>
      </c>
      <c r="H64" s="7">
        <v>47793</v>
      </c>
      <c r="I64" s="23"/>
    </row>
    <row r="65" spans="1:9" ht="24" customHeight="1" x14ac:dyDescent="0.15">
      <c r="A65" s="52" t="s">
        <v>122</v>
      </c>
      <c r="B65" s="52"/>
      <c r="C65" s="22" t="s">
        <v>123</v>
      </c>
      <c r="D65" s="22" t="s">
        <v>124</v>
      </c>
      <c r="E65" s="22"/>
      <c r="F65" s="7">
        <v>4584</v>
      </c>
      <c r="G65" s="7">
        <v>4584</v>
      </c>
      <c r="H65" s="7">
        <v>4584</v>
      </c>
      <c r="I65" s="23"/>
    </row>
    <row r="66" spans="1:9" ht="22.5" customHeight="1" x14ac:dyDescent="0.15">
      <c r="A66" s="52" t="s">
        <v>125</v>
      </c>
      <c r="B66" s="52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/>
    </row>
    <row r="67" spans="1:9" ht="18.75" customHeight="1" x14ac:dyDescent="0.15">
      <c r="A67" s="52" t="s">
        <v>128</v>
      </c>
      <c r="B67" s="52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6">G68+G69+G70</f>
        <v>0</v>
      </c>
      <c r="H67" s="9">
        <f t="shared" si="6"/>
        <v>0</v>
      </c>
      <c r="I67" s="23"/>
    </row>
    <row r="68" spans="1:9" ht="22.5" customHeight="1" x14ac:dyDescent="0.15">
      <c r="A68" s="52" t="s">
        <v>130</v>
      </c>
      <c r="B68" s="52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/>
    </row>
    <row r="69" spans="1:9" ht="19.5" customHeight="1" x14ac:dyDescent="0.15">
      <c r="A69" s="52" t="s">
        <v>134</v>
      </c>
      <c r="B69" s="52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/>
    </row>
    <row r="70" spans="1:9" ht="27.75" customHeight="1" x14ac:dyDescent="0.15">
      <c r="A70" s="52" t="s">
        <v>137</v>
      </c>
      <c r="B70" s="52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/>
    </row>
    <row r="71" spans="1:9" ht="18" customHeight="1" x14ac:dyDescent="0.15">
      <c r="A71" s="52" t="s">
        <v>140</v>
      </c>
      <c r="B71" s="52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7">G72</f>
        <v>0</v>
      </c>
      <c r="H71" s="9">
        <f t="shared" si="7"/>
        <v>0</v>
      </c>
      <c r="I71" s="23"/>
    </row>
    <row r="72" spans="1:9" ht="33" customHeight="1" x14ac:dyDescent="0.15">
      <c r="A72" s="52" t="s">
        <v>142</v>
      </c>
      <c r="B72" s="52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/>
    </row>
    <row r="73" spans="1:9" ht="18" customHeight="1" x14ac:dyDescent="0.15">
      <c r="A73" s="49" t="s">
        <v>145</v>
      </c>
      <c r="B73" s="49"/>
      <c r="C73" s="19" t="s">
        <v>146</v>
      </c>
      <c r="D73" s="14" t="s">
        <v>27</v>
      </c>
      <c r="E73" s="14"/>
      <c r="F73" s="16">
        <f>F74+F75+F76+F77+F78+F79</f>
        <v>9575161</v>
      </c>
      <c r="G73" s="16">
        <f t="shared" ref="G73:H73" si="8">G74+G75+G76+G77+G78+G79</f>
        <v>8299439</v>
      </c>
      <c r="H73" s="16">
        <f t="shared" si="8"/>
        <v>8411785.9700000007</v>
      </c>
      <c r="I73" s="23"/>
    </row>
    <row r="74" spans="1:9" ht="21.75" customHeight="1" x14ac:dyDescent="0.15">
      <c r="A74" s="49" t="s">
        <v>147</v>
      </c>
      <c r="B74" s="49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/>
    </row>
    <row r="75" spans="1:9" ht="26.25" customHeight="1" x14ac:dyDescent="0.15">
      <c r="A75" s="49" t="s">
        <v>150</v>
      </c>
      <c r="B75" s="49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/>
    </row>
    <row r="76" spans="1:9" ht="21.75" customHeight="1" x14ac:dyDescent="0.15">
      <c r="A76" s="49" t="s">
        <v>153</v>
      </c>
      <c r="B76" s="49"/>
      <c r="C76" s="19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23"/>
    </row>
    <row r="77" spans="1:9" ht="24" customHeight="1" x14ac:dyDescent="0.15">
      <c r="A77" s="49" t="s">
        <v>156</v>
      </c>
      <c r="B77" s="49"/>
      <c r="C77" s="19" t="s">
        <v>157</v>
      </c>
      <c r="D77" s="19">
        <v>244</v>
      </c>
      <c r="E77" s="14"/>
      <c r="F77" s="15">
        <v>3404541</v>
      </c>
      <c r="G77" s="15">
        <v>1837842</v>
      </c>
      <c r="H77" s="15">
        <v>1644662.97</v>
      </c>
      <c r="I77" s="23"/>
    </row>
    <row r="78" spans="1:9" ht="24" customHeight="1" x14ac:dyDescent="0.15">
      <c r="A78" s="50" t="s">
        <v>267</v>
      </c>
      <c r="B78" s="51"/>
      <c r="C78" s="19">
        <v>2660</v>
      </c>
      <c r="D78" s="19">
        <v>247</v>
      </c>
      <c r="E78" s="14"/>
      <c r="F78" s="7">
        <v>6170620</v>
      </c>
      <c r="G78" s="7">
        <v>6461597</v>
      </c>
      <c r="H78" s="7">
        <v>6767123</v>
      </c>
      <c r="I78" s="22"/>
    </row>
    <row r="79" spans="1:9" ht="24" customHeight="1" x14ac:dyDescent="0.15">
      <c r="A79" s="49" t="s">
        <v>158</v>
      </c>
      <c r="B79" s="49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9">G80+G81</f>
        <v>0</v>
      </c>
      <c r="H79" s="16">
        <f t="shared" si="9"/>
        <v>0</v>
      </c>
      <c r="I79" s="22"/>
    </row>
    <row r="80" spans="1:9" ht="24" customHeight="1" x14ac:dyDescent="0.15">
      <c r="A80" s="49" t="s">
        <v>161</v>
      </c>
      <c r="B80" s="49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9" t="s">
        <v>164</v>
      </c>
      <c r="B81" s="49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/>
    </row>
    <row r="82" spans="1:9" ht="36.75" customHeight="1" x14ac:dyDescent="0.15">
      <c r="A82" s="49" t="s">
        <v>167</v>
      </c>
      <c r="B82" s="49"/>
      <c r="C82" s="19" t="s">
        <v>168</v>
      </c>
      <c r="D82" s="19" t="s">
        <v>169</v>
      </c>
      <c r="E82" s="14"/>
      <c r="F82" s="16">
        <f>F83+F84+F85</f>
        <v>0</v>
      </c>
      <c r="G82" s="16">
        <f t="shared" ref="G82:H82" si="10">G83+G84+G85</f>
        <v>0</v>
      </c>
      <c r="H82" s="16">
        <f t="shared" si="10"/>
        <v>0</v>
      </c>
      <c r="I82" s="23"/>
    </row>
    <row r="83" spans="1:9" ht="21" customHeight="1" x14ac:dyDescent="0.15">
      <c r="A83" s="49" t="s">
        <v>170</v>
      </c>
      <c r="B83" s="49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/>
    </row>
    <row r="84" spans="1:9" ht="10.5" customHeight="1" x14ac:dyDescent="0.15">
      <c r="A84" s="49" t="s">
        <v>172</v>
      </c>
      <c r="B84" s="49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/>
    </row>
    <row r="85" spans="1:9" ht="21" customHeight="1" x14ac:dyDescent="0.15">
      <c r="A85" s="49" t="s">
        <v>174</v>
      </c>
      <c r="B85" s="49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/>
    </row>
    <row r="86" spans="1:9" ht="10.5" customHeight="1" x14ac:dyDescent="0.15">
      <c r="A86" s="49" t="s">
        <v>176</v>
      </c>
      <c r="B86" s="49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1">G87+G88+G89+G90</f>
        <v>0</v>
      </c>
      <c r="H86" s="16">
        <f t="shared" si="11"/>
        <v>0</v>
      </c>
      <c r="I86" s="23"/>
    </row>
    <row r="87" spans="1:9" ht="10.5" customHeight="1" x14ac:dyDescent="0.15">
      <c r="A87" s="49" t="s">
        <v>178</v>
      </c>
      <c r="B87" s="49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/>
    </row>
    <row r="88" spans="1:9" ht="10.5" customHeight="1" x14ac:dyDescent="0.15">
      <c r="A88" s="49" t="s">
        <v>63</v>
      </c>
      <c r="B88" s="49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/>
    </row>
    <row r="89" spans="1:9" ht="21" customHeight="1" x14ac:dyDescent="0.15">
      <c r="A89" s="49" t="s">
        <v>65</v>
      </c>
      <c r="B89" s="49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/>
    </row>
    <row r="90" spans="1:9" ht="31.5" customHeight="1" x14ac:dyDescent="0.15">
      <c r="A90" s="49" t="s">
        <v>183</v>
      </c>
      <c r="B90" s="49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/>
    </row>
    <row r="93" spans="1:9" x14ac:dyDescent="0.15">
      <c r="B93" s="47" t="s">
        <v>185</v>
      </c>
      <c r="C93" s="47"/>
      <c r="D93" s="47"/>
      <c r="E93" s="47"/>
      <c r="F93" s="47"/>
      <c r="G93" s="47"/>
      <c r="H93" s="47"/>
      <c r="I93" s="47"/>
    </row>
    <row r="95" spans="1:9" x14ac:dyDescent="0.15">
      <c r="A95" s="48" t="s">
        <v>186</v>
      </c>
      <c r="B95" s="48" t="s">
        <v>20</v>
      </c>
      <c r="C95" s="48" t="s">
        <v>21</v>
      </c>
      <c r="D95" s="48" t="s">
        <v>187</v>
      </c>
      <c r="E95" s="48" t="s">
        <v>22</v>
      </c>
      <c r="F95" s="48" t="s">
        <v>24</v>
      </c>
      <c r="G95" s="48"/>
      <c r="H95" s="48"/>
    </row>
    <row r="96" spans="1:9" ht="21" x14ac:dyDescent="0.15">
      <c r="A96" s="48"/>
      <c r="B96" s="48"/>
      <c r="C96" s="48"/>
      <c r="D96" s="48"/>
      <c r="E96" s="48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9575161</v>
      </c>
      <c r="G98" s="10">
        <f>G99+G100+G101+G104</f>
        <v>8299439</v>
      </c>
      <c r="H98" s="10">
        <f>H99+H100+H101+H104</f>
        <v>8411785.9700000007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>
        <v>26200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2">G102+G103</f>
        <v>0</v>
      </c>
      <c r="H101" s="10">
        <f t="shared" si="12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9575161</v>
      </c>
      <c r="G104" s="10">
        <f t="shared" ref="G104:H104" si="13">G105+G108+G111+G112+G115</f>
        <v>8299439</v>
      </c>
      <c r="H104" s="10">
        <f t="shared" si="13"/>
        <v>8411785.9700000007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9575161</v>
      </c>
      <c r="G105" s="10">
        <f t="shared" ref="G105:H105" si="14">G106+G107</f>
        <v>8299439</v>
      </c>
      <c r="H105" s="10">
        <f t="shared" si="14"/>
        <v>8411785.9700000007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9575161</v>
      </c>
      <c r="G106" s="15">
        <f>G73</f>
        <v>8299439</v>
      </c>
      <c r="H106" s="15">
        <f>H73</f>
        <v>8411785.9700000007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5">G109+G110</f>
        <v>0</v>
      </c>
      <c r="H108" s="2">
        <f t="shared" si="15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6">G113+G114</f>
        <v>0</v>
      </c>
      <c r="H112" s="2">
        <f t="shared" si="16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17">G116+G117</f>
        <v>0</v>
      </c>
      <c r="H115" s="2">
        <f t="shared" si="17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9575161</v>
      </c>
      <c r="G118" s="10">
        <f t="shared" ref="G118:H118" si="18">G119+G120+G121</f>
        <v>8299439</v>
      </c>
      <c r="H118" s="10">
        <f t="shared" si="18"/>
        <v>8411785.9700000007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9575161</v>
      </c>
      <c r="G119" s="7">
        <f t="shared" ref="G119:H119" si="19">G104</f>
        <v>8299439</v>
      </c>
      <c r="H119" s="7">
        <f t="shared" si="19"/>
        <v>8411785.9700000007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0">G123+G124+G125</f>
        <v>0</v>
      </c>
      <c r="H122" s="2">
        <f t="shared" si="20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44" t="s">
        <v>258</v>
      </c>
      <c r="B127" s="44"/>
      <c r="C127" s="45" t="s">
        <v>269</v>
      </c>
      <c r="D127" s="46"/>
      <c r="E127" s="27"/>
      <c r="F127" s="45" t="s">
        <v>271</v>
      </c>
      <c r="G127" s="46"/>
    </row>
    <row r="128" spans="1:8" x14ac:dyDescent="0.15">
      <c r="C128" s="42" t="s">
        <v>259</v>
      </c>
      <c r="D128" s="42"/>
      <c r="E128" s="24" t="s">
        <v>2</v>
      </c>
      <c r="F128" s="42" t="s">
        <v>3</v>
      </c>
      <c r="G128" s="42"/>
    </row>
    <row r="130" spans="1:7" x14ac:dyDescent="0.15">
      <c r="A130" s="44" t="s">
        <v>260</v>
      </c>
      <c r="B130" s="44"/>
      <c r="C130" s="45" t="s">
        <v>265</v>
      </c>
      <c r="D130" s="46"/>
      <c r="E130" s="26" t="s">
        <v>268</v>
      </c>
      <c r="F130" s="45" t="s">
        <v>266</v>
      </c>
      <c r="G130" s="46"/>
    </row>
    <row r="131" spans="1:7" ht="21" x14ac:dyDescent="0.15">
      <c r="C131" s="42" t="s">
        <v>259</v>
      </c>
      <c r="D131" s="42"/>
      <c r="E131" s="24" t="s">
        <v>261</v>
      </c>
      <c r="F131" s="42" t="s">
        <v>262</v>
      </c>
      <c r="G131" s="42"/>
    </row>
    <row r="132" spans="1:7" ht="10.5" customHeight="1" x14ac:dyDescent="0.15">
      <c r="A132" s="43" t="s">
        <v>276</v>
      </c>
      <c r="B132" s="43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06CE-D51D-45D7-BD61-CE4FA4B95BE4}">
  <sheetPr>
    <pageSetUpPr fitToPage="1"/>
  </sheetPr>
  <dimension ref="A1:I132"/>
  <sheetViews>
    <sheetView topLeftCell="A17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7" t="s">
        <v>0</v>
      </c>
      <c r="H2" s="47"/>
      <c r="I2" s="47"/>
    </row>
    <row r="3" spans="2:9" ht="21" customHeight="1" x14ac:dyDescent="0.15">
      <c r="G3" s="55" t="s">
        <v>273</v>
      </c>
      <c r="H3" s="55"/>
      <c r="I3" s="55"/>
    </row>
    <row r="4" spans="2:9" ht="15" customHeight="1" x14ac:dyDescent="0.15">
      <c r="G4" s="56" t="s">
        <v>1</v>
      </c>
      <c r="H4" s="56"/>
      <c r="I4" s="56"/>
    </row>
    <row r="5" spans="2:9" ht="18" customHeight="1" x14ac:dyDescent="0.15">
      <c r="G5" s="34"/>
      <c r="H5" s="55" t="s">
        <v>272</v>
      </c>
      <c r="I5" s="55"/>
    </row>
    <row r="6" spans="2:9" ht="15" customHeight="1" x14ac:dyDescent="0.15">
      <c r="G6" s="35" t="s">
        <v>2</v>
      </c>
      <c r="H6" s="56" t="s">
        <v>3</v>
      </c>
      <c r="I6" s="56"/>
    </row>
    <row r="7" spans="2:9" ht="30" customHeight="1" x14ac:dyDescent="0.15">
      <c r="G7" s="43" t="s">
        <v>282</v>
      </c>
      <c r="H7" s="43"/>
      <c r="I7" s="43"/>
    </row>
    <row r="8" spans="2:9" ht="20.100000000000001" customHeight="1" x14ac:dyDescent="0.15">
      <c r="G8" s="43" t="s">
        <v>4</v>
      </c>
      <c r="H8" s="43"/>
      <c r="I8" s="43"/>
    </row>
    <row r="9" spans="2:9" ht="9.75" customHeight="1" x14ac:dyDescent="0.15"/>
    <row r="10" spans="2:9" ht="20.25" customHeight="1" x14ac:dyDescent="0.15">
      <c r="B10" s="58" t="s">
        <v>5</v>
      </c>
      <c r="C10" s="58"/>
      <c r="D10" s="58"/>
      <c r="E10" s="58"/>
      <c r="F10" s="58"/>
      <c r="G10" s="58"/>
      <c r="H10" s="11"/>
      <c r="I10" s="11"/>
    </row>
    <row r="11" spans="2:9" ht="30" customHeight="1" x14ac:dyDescent="0.15">
      <c r="B11" s="58" t="s">
        <v>278</v>
      </c>
      <c r="C11" s="58"/>
      <c r="D11" s="58"/>
      <c r="E11" s="58"/>
      <c r="F11" s="58"/>
      <c r="G11" s="58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9" t="s">
        <v>283</v>
      </c>
      <c r="E13" s="59"/>
      <c r="F13" s="59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60" t="s">
        <v>264</v>
      </c>
      <c r="D15" s="60"/>
      <c r="E15" s="60"/>
      <c r="F15" s="60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52320527</v>
      </c>
      <c r="I16" s="32"/>
    </row>
    <row r="17" spans="1:9" ht="18.75" customHeight="1" x14ac:dyDescent="0.15">
      <c r="G17" s="29" t="s">
        <v>12</v>
      </c>
      <c r="H17" s="6">
        <v>5512004631</v>
      </c>
      <c r="I17" s="32"/>
    </row>
    <row r="18" spans="1:9" ht="30.75" customHeight="1" x14ac:dyDescent="0.15">
      <c r="B18" s="4" t="s">
        <v>13</v>
      </c>
      <c r="C18" s="60" t="s">
        <v>270</v>
      </c>
      <c r="D18" s="60"/>
      <c r="E18" s="60"/>
      <c r="F18" s="60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7" t="s">
        <v>19</v>
      </c>
      <c r="C21" s="47"/>
      <c r="D21" s="47"/>
      <c r="E21" s="47"/>
      <c r="F21" s="47"/>
      <c r="G21" s="47"/>
      <c r="H21" s="47"/>
    </row>
    <row r="22" spans="1:9" ht="18" customHeight="1" x14ac:dyDescent="0.15"/>
    <row r="23" spans="1:9" ht="19.5" customHeight="1" x14ac:dyDescent="0.15">
      <c r="A23" s="57" t="s">
        <v>20</v>
      </c>
      <c r="B23" s="57"/>
      <c r="C23" s="54" t="s">
        <v>21</v>
      </c>
      <c r="D23" s="54" t="s">
        <v>22</v>
      </c>
      <c r="E23" s="54" t="s">
        <v>23</v>
      </c>
      <c r="F23" s="54" t="s">
        <v>24</v>
      </c>
      <c r="G23" s="54"/>
      <c r="H23" s="54"/>
    </row>
    <row r="24" spans="1:9" ht="27" customHeight="1" x14ac:dyDescent="0.15">
      <c r="A24" s="57"/>
      <c r="B24" s="57"/>
      <c r="C24" s="54"/>
      <c r="D24" s="54"/>
      <c r="E24" s="54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54">
        <v>1</v>
      </c>
      <c r="B25" s="54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52" t="s">
        <v>25</v>
      </c>
      <c r="B26" s="52"/>
      <c r="C26" s="14" t="s">
        <v>26</v>
      </c>
      <c r="D26" s="14" t="s">
        <v>27</v>
      </c>
      <c r="E26" s="14" t="s">
        <v>27</v>
      </c>
      <c r="F26" s="16">
        <v>5780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52" t="s">
        <v>29</v>
      </c>
      <c r="B27" s="52"/>
      <c r="C27" s="14" t="s">
        <v>30</v>
      </c>
      <c r="D27" s="14" t="s">
        <v>27</v>
      </c>
      <c r="E27" s="14" t="s">
        <v>27</v>
      </c>
      <c r="F27" s="16">
        <f>F26+F28-F46-F82</f>
        <v>0</v>
      </c>
      <c r="G27" s="16">
        <f t="shared" ref="G27:H27" si="0">G26+G28-G46-G82</f>
        <v>0</v>
      </c>
      <c r="H27" s="16">
        <f t="shared" si="0"/>
        <v>0</v>
      </c>
      <c r="I27" s="32" t="s">
        <v>28</v>
      </c>
    </row>
    <row r="28" spans="1:9" ht="16.5" customHeight="1" x14ac:dyDescent="0.15">
      <c r="A28" s="52" t="s">
        <v>31</v>
      </c>
      <c r="B28" s="52"/>
      <c r="C28" s="14" t="s">
        <v>32</v>
      </c>
      <c r="D28" s="14"/>
      <c r="E28" s="14"/>
      <c r="F28" s="16">
        <f>F29+F30+F34+F35+F39+F40+F41</f>
        <v>26924843.379999999</v>
      </c>
      <c r="G28" s="16">
        <f t="shared" ref="G28:H28" si="1">G29+G30+G34+G35+G39+G40+G41</f>
        <v>25473437.379999999</v>
      </c>
      <c r="H28" s="16">
        <f t="shared" si="1"/>
        <v>25585784.350000001</v>
      </c>
      <c r="I28" s="32" t="s">
        <v>28</v>
      </c>
    </row>
    <row r="29" spans="1:9" ht="21.75" customHeight="1" x14ac:dyDescent="0.15">
      <c r="A29" s="52" t="s">
        <v>33</v>
      </c>
      <c r="B29" s="52"/>
      <c r="C29" s="17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52" t="s">
        <v>36</v>
      </c>
      <c r="B30" s="52"/>
      <c r="C30" s="17" t="s">
        <v>37</v>
      </c>
      <c r="D30" s="14" t="s">
        <v>38</v>
      </c>
      <c r="E30" s="14"/>
      <c r="F30" s="16">
        <f>F31+F32+F33</f>
        <v>26404843.379999999</v>
      </c>
      <c r="G30" s="9">
        <f t="shared" ref="G30:H30" si="2">G31+G32+G33</f>
        <v>24953437.379999999</v>
      </c>
      <c r="H30" s="9">
        <f t="shared" si="2"/>
        <v>25065784.350000001</v>
      </c>
      <c r="I30" s="32" t="s">
        <v>28</v>
      </c>
    </row>
    <row r="31" spans="1:9" ht="46.5" customHeight="1" x14ac:dyDescent="0.15">
      <c r="A31" s="52" t="s">
        <v>39</v>
      </c>
      <c r="B31" s="52"/>
      <c r="C31" s="14" t="s">
        <v>40</v>
      </c>
      <c r="D31" s="14" t="s">
        <v>38</v>
      </c>
      <c r="E31" s="14"/>
      <c r="F31" s="18">
        <v>26404843.379999999</v>
      </c>
      <c r="G31" s="7">
        <v>24953437.379999999</v>
      </c>
      <c r="H31" s="7">
        <v>25065784.350000001</v>
      </c>
      <c r="I31" s="32" t="s">
        <v>28</v>
      </c>
    </row>
    <row r="32" spans="1:9" ht="34.5" customHeight="1" x14ac:dyDescent="0.15">
      <c r="A32" s="52" t="s">
        <v>41</v>
      </c>
      <c r="B32" s="52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53" t="s">
        <v>263</v>
      </c>
      <c r="B33" s="52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3"/>
    </row>
    <row r="34" spans="1:9" ht="19.5" customHeight="1" x14ac:dyDescent="0.15">
      <c r="A34" s="52" t="s">
        <v>43</v>
      </c>
      <c r="B34" s="52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52" t="s">
        <v>46</v>
      </c>
      <c r="B35" s="52"/>
      <c r="C35" s="17" t="s">
        <v>47</v>
      </c>
      <c r="D35" s="14" t="s">
        <v>48</v>
      </c>
      <c r="E35" s="14"/>
      <c r="F35" s="9">
        <f t="shared" ref="F35:H35" si="3">F36+F37+F38</f>
        <v>520000</v>
      </c>
      <c r="G35" s="9">
        <f t="shared" si="3"/>
        <v>520000</v>
      </c>
      <c r="H35" s="9">
        <f t="shared" si="3"/>
        <v>520000</v>
      </c>
      <c r="I35" s="32" t="s">
        <v>28</v>
      </c>
    </row>
    <row r="36" spans="1:9" ht="19.5" customHeight="1" x14ac:dyDescent="0.15">
      <c r="A36" s="52" t="s">
        <v>49</v>
      </c>
      <c r="B36" s="52"/>
      <c r="C36" s="14" t="s">
        <v>50</v>
      </c>
      <c r="D36" s="14" t="s">
        <v>48</v>
      </c>
      <c r="E36" s="14"/>
      <c r="F36" s="18">
        <v>520000</v>
      </c>
      <c r="G36" s="7">
        <v>520000</v>
      </c>
      <c r="H36" s="7">
        <v>520000</v>
      </c>
      <c r="I36" s="32" t="s">
        <v>28</v>
      </c>
    </row>
    <row r="37" spans="1:9" ht="19.5" customHeight="1" x14ac:dyDescent="0.15">
      <c r="A37" s="52" t="s">
        <v>51</v>
      </c>
      <c r="B37" s="52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53" t="s">
        <v>263</v>
      </c>
      <c r="B38" s="52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52" t="s">
        <v>53</v>
      </c>
      <c r="B39" s="52"/>
      <c r="C39" s="17" t="s">
        <v>54</v>
      </c>
      <c r="D39" s="19" t="s">
        <v>55</v>
      </c>
      <c r="E39" s="14"/>
      <c r="F39" s="16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52" t="s">
        <v>56</v>
      </c>
      <c r="B40" s="52"/>
      <c r="C40" s="17" t="s">
        <v>57</v>
      </c>
      <c r="D40" s="14"/>
      <c r="E40" s="14"/>
      <c r="F40" s="15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52" t="s">
        <v>58</v>
      </c>
      <c r="B41" s="52"/>
      <c r="C41" s="17" t="s">
        <v>59</v>
      </c>
      <c r="D41" s="14" t="s">
        <v>27</v>
      </c>
      <c r="E41" s="14"/>
      <c r="F41" s="15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52" t="s">
        <v>60</v>
      </c>
      <c r="B42" s="52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52" t="s">
        <v>63</v>
      </c>
      <c r="B43" s="52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52" t="s">
        <v>65</v>
      </c>
      <c r="B44" s="52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52" t="s">
        <v>67</v>
      </c>
      <c r="B45" s="52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52" t="s">
        <v>69</v>
      </c>
      <c r="B46" s="52"/>
      <c r="C46" s="33" t="s">
        <v>70</v>
      </c>
      <c r="D46" s="33" t="s">
        <v>27</v>
      </c>
      <c r="E46" s="33"/>
      <c r="F46" s="9">
        <f>F47+F57+F63+F67+F71+F73</f>
        <v>26930623.379999999</v>
      </c>
      <c r="G46" s="9">
        <f t="shared" ref="G46:H46" si="4">G47+G57+G63+G67+G71+G73</f>
        <v>25473437.379999999</v>
      </c>
      <c r="H46" s="9">
        <f t="shared" si="4"/>
        <v>25585784.350000001</v>
      </c>
      <c r="I46" s="32" t="s">
        <v>28</v>
      </c>
    </row>
    <row r="47" spans="1:9" ht="26.25" customHeight="1" x14ac:dyDescent="0.15">
      <c r="A47" s="52" t="s">
        <v>71</v>
      </c>
      <c r="B47" s="52"/>
      <c r="C47" s="33" t="s">
        <v>72</v>
      </c>
      <c r="D47" s="33" t="s">
        <v>27</v>
      </c>
      <c r="E47" s="33"/>
      <c r="F47" s="9">
        <f>F48+F49+F50+F51+F54+F55+F56</f>
        <v>16726957.379999999</v>
      </c>
      <c r="G47" s="9">
        <f t="shared" ref="G47:H47" si="5">G48+G49+G50+G51+G54+G55+G56</f>
        <v>16726957.379999999</v>
      </c>
      <c r="H47" s="9">
        <f t="shared" si="5"/>
        <v>16726957.379999999</v>
      </c>
      <c r="I47" s="32" t="s">
        <v>28</v>
      </c>
    </row>
    <row r="48" spans="1:9" ht="24" customHeight="1" x14ac:dyDescent="0.15">
      <c r="A48" s="52" t="s">
        <v>73</v>
      </c>
      <c r="B48" s="52"/>
      <c r="C48" s="33" t="s">
        <v>74</v>
      </c>
      <c r="D48" s="33" t="s">
        <v>75</v>
      </c>
      <c r="E48" s="33"/>
      <c r="F48" s="7">
        <v>12885134.93</v>
      </c>
      <c r="G48" s="7">
        <v>12885134.93</v>
      </c>
      <c r="H48" s="7">
        <v>12885134.93</v>
      </c>
      <c r="I48" s="32" t="s">
        <v>28</v>
      </c>
    </row>
    <row r="49" spans="1:9" ht="17.25" customHeight="1" x14ac:dyDescent="0.15">
      <c r="A49" s="52" t="s">
        <v>76</v>
      </c>
      <c r="B49" s="52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52" t="s">
        <v>79</v>
      </c>
      <c r="B50" s="52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52" t="s">
        <v>82</v>
      </c>
      <c r="B51" s="52"/>
      <c r="C51" s="33" t="s">
        <v>83</v>
      </c>
      <c r="D51" s="33" t="s">
        <v>84</v>
      </c>
      <c r="E51" s="33"/>
      <c r="F51" s="9">
        <f>F52+F53</f>
        <v>3841822.45</v>
      </c>
      <c r="G51" s="9">
        <f t="shared" ref="G51:H51" si="6">G52+G53</f>
        <v>3841822.45</v>
      </c>
      <c r="H51" s="9">
        <f t="shared" si="6"/>
        <v>3841822.45</v>
      </c>
      <c r="I51" s="32" t="s">
        <v>28</v>
      </c>
    </row>
    <row r="52" spans="1:9" ht="24" customHeight="1" x14ac:dyDescent="0.15">
      <c r="A52" s="52" t="s">
        <v>85</v>
      </c>
      <c r="B52" s="52"/>
      <c r="C52" s="33" t="s">
        <v>86</v>
      </c>
      <c r="D52" s="33" t="s">
        <v>84</v>
      </c>
      <c r="E52" s="33"/>
      <c r="F52" s="7">
        <v>3841822.45</v>
      </c>
      <c r="G52" s="7">
        <v>3841822.45</v>
      </c>
      <c r="H52" s="7">
        <v>3841822.45</v>
      </c>
      <c r="I52" s="32" t="s">
        <v>28</v>
      </c>
    </row>
    <row r="53" spans="1:9" ht="17.25" customHeight="1" x14ac:dyDescent="0.15">
      <c r="A53" s="52" t="s">
        <v>87</v>
      </c>
      <c r="B53" s="52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52" t="s">
        <v>89</v>
      </c>
      <c r="B54" s="52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52" t="s">
        <v>92</v>
      </c>
      <c r="B55" s="52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52" t="s">
        <v>95</v>
      </c>
      <c r="B56" s="52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52" t="s">
        <v>98</v>
      </c>
      <c r="B57" s="52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52" t="s">
        <v>101</v>
      </c>
      <c r="B58" s="52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52" t="s">
        <v>104</v>
      </c>
      <c r="B59" s="52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52" t="s">
        <v>107</v>
      </c>
      <c r="B60" s="52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52" t="s">
        <v>110</v>
      </c>
      <c r="B61" s="52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52" t="s">
        <v>113</v>
      </c>
      <c r="B62" s="52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52" t="s">
        <v>116</v>
      </c>
      <c r="B63" s="52"/>
      <c r="C63" s="33" t="s">
        <v>117</v>
      </c>
      <c r="D63" s="33" t="s">
        <v>118</v>
      </c>
      <c r="E63" s="33"/>
      <c r="F63" s="9">
        <f>F64+F65+F66</f>
        <v>52377</v>
      </c>
      <c r="G63" s="9">
        <f t="shared" ref="G63:H63" si="8">G64+G65+G66</f>
        <v>52377</v>
      </c>
      <c r="H63" s="9">
        <f t="shared" si="8"/>
        <v>52377</v>
      </c>
      <c r="I63" s="32" t="s">
        <v>28</v>
      </c>
    </row>
    <row r="64" spans="1:9" ht="24" customHeight="1" x14ac:dyDescent="0.15">
      <c r="A64" s="52" t="s">
        <v>119</v>
      </c>
      <c r="B64" s="52"/>
      <c r="C64" s="33" t="s">
        <v>120</v>
      </c>
      <c r="D64" s="33" t="s">
        <v>121</v>
      </c>
      <c r="E64" s="33"/>
      <c r="F64" s="7">
        <v>47793</v>
      </c>
      <c r="G64" s="7">
        <v>47793</v>
      </c>
      <c r="H64" s="7">
        <v>47793</v>
      </c>
      <c r="I64" s="32" t="s">
        <v>28</v>
      </c>
    </row>
    <row r="65" spans="1:9" ht="24" customHeight="1" x14ac:dyDescent="0.15">
      <c r="A65" s="52" t="s">
        <v>122</v>
      </c>
      <c r="B65" s="52"/>
      <c r="C65" s="33" t="s">
        <v>123</v>
      </c>
      <c r="D65" s="33" t="s">
        <v>124</v>
      </c>
      <c r="E65" s="33"/>
      <c r="F65" s="7">
        <v>4584</v>
      </c>
      <c r="G65" s="7">
        <v>4584</v>
      </c>
      <c r="H65" s="7">
        <v>4584</v>
      </c>
      <c r="I65" s="32" t="s">
        <v>28</v>
      </c>
    </row>
    <row r="66" spans="1:9" ht="22.5" customHeight="1" x14ac:dyDescent="0.15">
      <c r="A66" s="52" t="s">
        <v>125</v>
      </c>
      <c r="B66" s="52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52" t="s">
        <v>128</v>
      </c>
      <c r="B67" s="52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52" t="s">
        <v>130</v>
      </c>
      <c r="B68" s="52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52" t="s">
        <v>134</v>
      </c>
      <c r="B69" s="52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52" t="s">
        <v>137</v>
      </c>
      <c r="B70" s="52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52" t="s">
        <v>140</v>
      </c>
      <c r="B71" s="52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52" t="s">
        <v>142</v>
      </c>
      <c r="B72" s="52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9" t="s">
        <v>145</v>
      </c>
      <c r="B73" s="49"/>
      <c r="C73" s="19" t="s">
        <v>146</v>
      </c>
      <c r="D73" s="14" t="s">
        <v>27</v>
      </c>
      <c r="E73" s="14"/>
      <c r="F73" s="16">
        <f>F74+F75+F76+F77+F78+F79</f>
        <v>10151289</v>
      </c>
      <c r="G73" s="16">
        <f t="shared" ref="G73:H73" si="11">G74+G75+G76+G77+G78+G79</f>
        <v>8694103</v>
      </c>
      <c r="H73" s="16">
        <f t="shared" si="11"/>
        <v>8806449.9700000007</v>
      </c>
      <c r="I73" s="32" t="s">
        <v>28</v>
      </c>
    </row>
    <row r="74" spans="1:9" ht="21.75" customHeight="1" x14ac:dyDescent="0.15">
      <c r="A74" s="49" t="s">
        <v>147</v>
      </c>
      <c r="B74" s="49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9" t="s">
        <v>150</v>
      </c>
      <c r="B75" s="49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9" t="s">
        <v>153</v>
      </c>
      <c r="B76" s="49"/>
      <c r="C76" s="19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9" t="s">
        <v>156</v>
      </c>
      <c r="B77" s="49"/>
      <c r="C77" s="19" t="s">
        <v>157</v>
      </c>
      <c r="D77" s="19">
        <v>244</v>
      </c>
      <c r="E77" s="14"/>
      <c r="F77" s="15">
        <v>3980669</v>
      </c>
      <c r="G77" s="15">
        <v>2232506</v>
      </c>
      <c r="H77" s="15">
        <v>2039326.97</v>
      </c>
      <c r="I77" s="32" t="s">
        <v>28</v>
      </c>
    </row>
    <row r="78" spans="1:9" ht="24" customHeight="1" x14ac:dyDescent="0.15">
      <c r="A78" s="50" t="s">
        <v>267</v>
      </c>
      <c r="B78" s="51"/>
      <c r="C78" s="19">
        <v>2660</v>
      </c>
      <c r="D78" s="19">
        <v>247</v>
      </c>
      <c r="E78" s="14"/>
      <c r="F78" s="7">
        <v>6170620</v>
      </c>
      <c r="G78" s="7">
        <v>6461597</v>
      </c>
      <c r="H78" s="7">
        <v>6767123</v>
      </c>
      <c r="I78" s="33"/>
    </row>
    <row r="79" spans="1:9" ht="24" customHeight="1" x14ac:dyDescent="0.15">
      <c r="A79" s="49" t="s">
        <v>158</v>
      </c>
      <c r="B79" s="49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33"/>
    </row>
    <row r="80" spans="1:9" ht="24" customHeight="1" x14ac:dyDescent="0.15">
      <c r="A80" s="49" t="s">
        <v>161</v>
      </c>
      <c r="B80" s="49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9" t="s">
        <v>164</v>
      </c>
      <c r="B81" s="49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9" t="s">
        <v>167</v>
      </c>
      <c r="B82" s="49"/>
      <c r="C82" s="19" t="s">
        <v>168</v>
      </c>
      <c r="D82" s="19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32" t="s">
        <v>28</v>
      </c>
    </row>
    <row r="83" spans="1:9" ht="21" customHeight="1" x14ac:dyDescent="0.15">
      <c r="A83" s="49" t="s">
        <v>170</v>
      </c>
      <c r="B83" s="49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9" t="s">
        <v>172</v>
      </c>
      <c r="B84" s="49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9" t="s">
        <v>174</v>
      </c>
      <c r="B85" s="49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9" t="s">
        <v>176</v>
      </c>
      <c r="B86" s="49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32" t="s">
        <v>28</v>
      </c>
    </row>
    <row r="87" spans="1:9" ht="10.5" customHeight="1" x14ac:dyDescent="0.15">
      <c r="A87" s="49" t="s">
        <v>178</v>
      </c>
      <c r="B87" s="49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9" t="s">
        <v>63</v>
      </c>
      <c r="B88" s="49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9" t="s">
        <v>65</v>
      </c>
      <c r="B89" s="49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9" t="s">
        <v>183</v>
      </c>
      <c r="B90" s="49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7" t="s">
        <v>185</v>
      </c>
      <c r="C93" s="47"/>
      <c r="D93" s="47"/>
      <c r="E93" s="47"/>
      <c r="F93" s="47"/>
      <c r="G93" s="47"/>
      <c r="H93" s="47"/>
      <c r="I93" s="47"/>
    </row>
    <row r="95" spans="1:9" x14ac:dyDescent="0.15">
      <c r="A95" s="48" t="s">
        <v>186</v>
      </c>
      <c r="B95" s="48" t="s">
        <v>20</v>
      </c>
      <c r="C95" s="48" t="s">
        <v>21</v>
      </c>
      <c r="D95" s="48" t="s">
        <v>187</v>
      </c>
      <c r="E95" s="48" t="s">
        <v>22</v>
      </c>
      <c r="F95" s="48" t="s">
        <v>24</v>
      </c>
      <c r="G95" s="48"/>
      <c r="H95" s="48"/>
    </row>
    <row r="96" spans="1:9" ht="21" x14ac:dyDescent="0.15">
      <c r="A96" s="48"/>
      <c r="B96" s="48"/>
      <c r="C96" s="48"/>
      <c r="D96" s="48"/>
      <c r="E96" s="48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10151289</v>
      </c>
      <c r="G98" s="10">
        <f>G99+G100+G101+G104</f>
        <v>8694103</v>
      </c>
      <c r="H98" s="10">
        <f>H99+H100+H101+H104</f>
        <v>8806449.9700000007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10151289</v>
      </c>
      <c r="G104" s="10">
        <f t="shared" ref="G104:H104" si="16">G105+G108+G111+G112+G115</f>
        <v>8694103</v>
      </c>
      <c r="H104" s="10">
        <f t="shared" si="16"/>
        <v>8806449.9700000007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10151289</v>
      </c>
      <c r="G105" s="10">
        <f t="shared" ref="G105:H105" si="17">G106+G107</f>
        <v>8694103</v>
      </c>
      <c r="H105" s="10">
        <f t="shared" si="17"/>
        <v>8806449.9700000007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10151289</v>
      </c>
      <c r="G106" s="15">
        <f>G73</f>
        <v>8694103</v>
      </c>
      <c r="H106" s="15">
        <f>H73</f>
        <v>8806449.9700000007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10151289</v>
      </c>
      <c r="G118" s="10">
        <f t="shared" ref="G118:H118" si="21">G119+G120+G121</f>
        <v>8694103</v>
      </c>
      <c r="H118" s="10">
        <f t="shared" si="21"/>
        <v>8806449.9700000007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10151289</v>
      </c>
      <c r="G119" s="7">
        <f t="shared" ref="G119:H119" si="22">G104</f>
        <v>8694103</v>
      </c>
      <c r="H119" s="7">
        <f t="shared" si="22"/>
        <v>8806449.9700000007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44" t="s">
        <v>258</v>
      </c>
      <c r="B127" s="44"/>
      <c r="C127" s="45" t="s">
        <v>269</v>
      </c>
      <c r="D127" s="46"/>
      <c r="E127" s="31"/>
      <c r="F127" s="45" t="s">
        <v>271</v>
      </c>
      <c r="G127" s="46"/>
    </row>
    <row r="128" spans="1:8" x14ac:dyDescent="0.15">
      <c r="C128" s="42" t="s">
        <v>259</v>
      </c>
      <c r="D128" s="42"/>
      <c r="E128" s="28" t="s">
        <v>2</v>
      </c>
      <c r="F128" s="42" t="s">
        <v>3</v>
      </c>
      <c r="G128" s="42"/>
    </row>
    <row r="130" spans="1:7" x14ac:dyDescent="0.15">
      <c r="A130" s="44" t="s">
        <v>260</v>
      </c>
      <c r="B130" s="44"/>
      <c r="C130" s="45" t="s">
        <v>265</v>
      </c>
      <c r="D130" s="46"/>
      <c r="E130" s="30" t="s">
        <v>268</v>
      </c>
      <c r="F130" s="45" t="s">
        <v>266</v>
      </c>
      <c r="G130" s="46"/>
    </row>
    <row r="131" spans="1:7" ht="21" x14ac:dyDescent="0.15">
      <c r="C131" s="42" t="s">
        <v>259</v>
      </c>
      <c r="D131" s="42"/>
      <c r="E131" s="28" t="s">
        <v>261</v>
      </c>
      <c r="F131" s="42" t="s">
        <v>262</v>
      </c>
      <c r="G131" s="42"/>
    </row>
    <row r="132" spans="1:7" ht="10.5" customHeight="1" x14ac:dyDescent="0.15">
      <c r="A132" s="43" t="s">
        <v>285</v>
      </c>
      <c r="B132" s="43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Иван Софронов</cp:lastModifiedBy>
  <cp:lastPrinted>2024-09-30T09:36:17Z</cp:lastPrinted>
  <dcterms:created xsi:type="dcterms:W3CDTF">2020-09-16T13:07:09Z</dcterms:created>
  <dcterms:modified xsi:type="dcterms:W3CDTF">2025-04-23T04:28:20Z</dcterms:modified>
</cp:coreProperties>
</file>