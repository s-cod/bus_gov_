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BAF6DD7C-89BF-4106-9F8F-974C40D4BA18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G79" i="46"/>
  <c r="F79" i="46"/>
  <c r="G73" i="46"/>
  <c r="G106" i="46" s="1"/>
  <c r="G105" i="46" s="1"/>
  <c r="G104" i="46" s="1"/>
  <c r="F73" i="46"/>
  <c r="F106" i="46" s="1"/>
  <c r="F105" i="46" s="1"/>
  <c r="F104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G51" i="46"/>
  <c r="G47" i="46" s="1"/>
  <c r="G46" i="46" s="1"/>
  <c r="F51" i="46"/>
  <c r="F47" i="46" s="1"/>
  <c r="H47" i="46"/>
  <c r="F41" i="46"/>
  <c r="H35" i="46"/>
  <c r="G35" i="46"/>
  <c r="F35" i="46"/>
  <c r="H30" i="46"/>
  <c r="G30" i="46"/>
  <c r="F30" i="46"/>
  <c r="F28" i="46" s="1"/>
  <c r="F46" i="46" l="1"/>
  <c r="G27" i="46"/>
  <c r="F27" i="46"/>
  <c r="F98" i="46"/>
  <c r="F119" i="46"/>
  <c r="F118" i="46" s="1"/>
  <c r="H106" i="46"/>
  <c r="H105" i="46" s="1"/>
  <c r="H104" i="46" s="1"/>
  <c r="H119" i="46" s="1"/>
  <c r="H118" i="46" s="1"/>
  <c r="H46" i="46"/>
  <c r="H27" i="46" s="1"/>
  <c r="G119" i="46"/>
  <c r="G118" i="46" s="1"/>
  <c r="G98" i="46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H106" i="45" s="1"/>
  <c r="H105" i="45" s="1"/>
  <c r="H104" i="45" s="1"/>
  <c r="H119" i="45" s="1"/>
  <c r="H118" i="45" s="1"/>
  <c r="G79" i="45"/>
  <c r="G73" i="45" s="1"/>
  <c r="G106" i="45" s="1"/>
  <c r="G105" i="45" s="1"/>
  <c r="G104" i="45" s="1"/>
  <c r="G119" i="45" s="1"/>
  <c r="G118" i="45" s="1"/>
  <c r="F79" i="45"/>
  <c r="F73" i="45" s="1"/>
  <c r="F106" i="45" s="1"/>
  <c r="F105" i="45" s="1"/>
  <c r="F104" i="45" s="1"/>
  <c r="F119" i="45" s="1"/>
  <c r="F118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G30" i="45"/>
  <c r="F30" i="45"/>
  <c r="G46" i="45" l="1"/>
  <c r="H28" i="45"/>
  <c r="G28" i="45"/>
  <c r="G27" i="45" s="1"/>
  <c r="F28" i="45"/>
  <c r="F98" i="45"/>
  <c r="G98" i="45"/>
  <c r="F46" i="45"/>
  <c r="H46" i="45"/>
  <c r="H27" i="45" s="1"/>
  <c r="H98" i="45"/>
  <c r="F27" i="45" l="1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<sst xmlns="http://schemas.openxmlformats.org/spreadsheetml/2006/main" count="828" uniqueCount="286">
  <si>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</si>
  <si>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</si>
  <si>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</si>
  <si>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</si>
  <si>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</si>
  <si>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</si>
  <si>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</si>
  <si>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</si>
  <si>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</si>
  <si>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</si>
  <si>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</si>
  <si>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</si>
  <si>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</si>
  <si>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</si>
  <si>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</si>
  <si>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</si>
  <si>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</si>
  <si>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</si>
  <si>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</si>
  <si>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</si>
  <si>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</si>
  <si>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</si>
  <si>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</si>
  <si>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</si>
  <si>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</si>
  <si>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</si>
  <si>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</si>
  <si>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</si>
  <si>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</si>
  <si>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</si>
  <si>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</si>
  <si>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</si>
  <si>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</si>
  <si>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</si>
  <si>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</si>
  <si>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</si>
  <si>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</si>
  <si>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</si>
  <si>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</si>
  <si>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</si>
  <si>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</si>
  <si>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</si>
  <si>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</si>
  <si>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</si>
  <si>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</si>
  <si>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</si>
  <si>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</si>
  <si>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</si>
  <si>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</si>
  <si>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</si>
  <si>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</si>
  <si>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</si>
  <si>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</si>
  <si>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</si>
  <si>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</si>
  <si>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</si>
  <si>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</si>
  <si>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</si>
  <si>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</si>
  <si>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</si>
  <si>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</si>
  <si>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</si>
  <si>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</si>
  <si>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</si>
  <si>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</si>
  <si>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</si>
  <si>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</si>
  <si>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</si>
  <si>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</si>
  <si>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</si>
  <si>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</si>
  <si>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</si>
  <si>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</si>
  <si>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</si>
  <si>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</si>
  <si>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</si>
  <si>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</si>
  <si>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</si>
  <si>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</si>
  <si>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</si>
  <si>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</si>
  <si>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</si>
  <si>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</si>
  <si>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</si>
  <si>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</si>
  <si>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</si>
  <si>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</si>
  <si>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</si>
  <si>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</si>
  <si>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</si>
  <si>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</si>
  <si>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</si>
  <si>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</si>
  <si>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</si>
  <si>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</si>
  <si>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</si>
  <si>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</si>
  <si>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</si>
  <si>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</si>
  <si>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</si>
  <si>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</si>
  <si>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</si>
  <si>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</si>
  <si>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</si>
  <si>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</si>
  <si>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</si>
  <si>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</si>
  <si>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</si>
  <si>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</si>
  <si>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</si>
  <si>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</si>
  <si>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</si>
  <si>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</si>
  <si>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</si>
  <si>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</si>
  <si>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</si>
  <si>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</si>
  <si>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</si>
  <si>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</si>
  <si>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</si>
  <si>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</si>
  <si>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</si>
  <si>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</si>
  <si>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</si>
  <si>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</si>
  <si>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</si>
  <si>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</si>
  <si>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</si>
  <si>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</si>
  <si>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</si>
  <si>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</si>
  <si>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</si>
  <si>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</si>
  <si>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</si>
  <si>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</si>
  <si>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</si>
  <si>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</si>
  <si>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</si>
  <si>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</si>
  <si>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</si>
  <si>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</si>
  <si>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</si>
  <si>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</si>
  <si>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</si>
  <si>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</si>
  <si>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</si>
  <si>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</si>
  <si>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</si>
  <si>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</si>
  <si>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</si>
  <si>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</si>
  <si>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</si>
  <si>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</si>
  <si>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</si>
  <si>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</si>
  <si>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</si>
  <si>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</si>
  <si>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</si>
  <si>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</si>
  <si>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</si>
  <si>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</si>
  <si>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</si>
  <si>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</si>
  <si>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</si>
  <si>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</si>
  <si>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</si>
  <si>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</si>
  <si>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</si>
  <si>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</si>
  <si>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</si>
  <si>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</si>
  <si>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</si>
  <si>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</si>
  <si>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</si>
  <si>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</si>
  <si>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</si>
  <si>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</si>
  <si>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</si>
  <si>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</si>
  <si>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</si>
  <si>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</si>
  <si>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</si>
  <si>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</si>
  <si>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</si>
  <si>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</si>
  <si>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</si>
  <si>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</si>
  <si>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</si>
  <si>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</si>
  <si>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</si>
  <si>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</si>
  <si>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</si>
  <si>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</si>
  <si>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</si>
  <si>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</si>
  <si>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</si>
  <si>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</si>
  <si>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</si>
  <si>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</si>
  <si>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</si>
  <si>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</si>
  <si>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</si>
  <si>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</si>
  <si>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</si>
  <si>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</si>
  <si>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</si>
  <si>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</si>
  <si>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</si>
  <si>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</si>
  <si>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</si>
  <si>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</si>
  <si>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</si>
  <si>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</si>
  <si>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</si>
  <si>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</si>
  <si>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</si>
  <si>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</si>
  <si>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</si>
  <si>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</si>
  <si>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</si>
  <si>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</si>
  <si>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</si>
  <si>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</si>
  <si>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</si>
  <si>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</si>
  <si>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</si>
  <si>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</si>
  <si>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</si>
  <si>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</si>
  <si>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</si>
  <si>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</si>
  <si>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</si>
  <si>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</si>
  <si>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</si>
  <si>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</si>
  <si>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</si>
  <si>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</si>
  <si>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</si>
  <si>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</si>
  <si>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</si>
  <si>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</si>
  <si>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</si>
  <si>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</si>
  <si>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</si>
  <si>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</si>
  <si>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</si>
  <si>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</si>
  <si>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</si>
  <si>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</si>
  <si>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</si>
  <si>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</si>
  <si>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</si>
  <si>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</si>
  <si>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</si>
  <si>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</si>
  <si>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</si>
  <si>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</si>
  <si>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</si>
  <si>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</si>
  <si>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</si>
  <si>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</si>
  <si>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</si>
  <si>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</si>
  <si>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</si>
  <si>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</si>
  <si>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</si>
  <si>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</si>
  <si>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</si>
  <si>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</si>
  <si>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</si>
  <si>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>Г.С.Нуртазина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</si>
  <si>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</si>
  <si>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</si>
  <si>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</si>
  <si>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</si>
  <si>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 xml:space="preserve">МБОУ "Бельсенды-казахская основная общеобразовательная школа" </t>
  </si>
  <si>
    <t>"_ 31_" ______декабря_________ 2024_ г.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</si>
  <si>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</si>
  <si>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</si>
  <si>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</si>
  <si>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</si>
  <si>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на 2027 г. второй год планового периода</t>
  </si>
  <si>
    <t>"__31___" ____января_________ ___2025___ г.</t>
  </si>
  <si>
    <t>31 января  2025г</t>
  </si>
  <si>
    <t>31.01.2025</t>
  </si>
  <si>
    <t>"_ 31_" ______января_________ 2025_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</si>
</sst>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  <font>
      <sz val="8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4" fillId="6" borderId="4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19" fillId="18" borderId="17" xfId="0" applyNumberFormat="1" applyFont="1" applyFill="1" applyBorder="1" applyAlignment="1">
      <alignment horizontal="right" vertical="center" wrapText="1" indent="1"/>
    </xf>
    <xf numFmtId="0" fontId="4" fillId="6" borderId="4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DC04-DDE1-4C76-8F8F-171C48C241CB}">
  <sheetPr>
    <pageSetUpPr fitToPage="1"/>
  </sheetPr>
  <dimension ref="A1:I132"/>
  <sheetViews>
    <sheetView topLeftCell="A84" workbookViewId="0">
      <selection activeCell="F96" sqref="F96:H96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35" t="s">
        <v>0</v>
      </c>
      <c r="H2" s="35"/>
      <c r="I2" s="35"/>
    </row>
    <row r="3" spans="2:9" ht="21" customHeight="1" x14ac:dyDescent="0.15">
      <c r="G3" s="36" t="s">
        <v>272</v>
      </c>
      <c r="H3" s="36"/>
      <c r="I3" s="36"/>
    </row>
    <row r="4" spans="2:9" ht="15" customHeight="1" x14ac:dyDescent="0.15">
      <c r="G4" s="37" t="s">
        <v>1</v>
      </c>
      <c r="H4" s="37"/>
      <c r="I4" s="37"/>
    </row>
    <row r="5" spans="2:9" ht="18" customHeight="1" x14ac:dyDescent="0.15">
      <c r="G5" s="21"/>
      <c r="H5" s="36" t="s">
        <v>271</v>
      </c>
      <c r="I5" s="36"/>
    </row>
    <row r="6" spans="2:9" ht="15" customHeight="1" x14ac:dyDescent="0.15">
      <c r="G6" s="22" t="s">
        <v>2</v>
      </c>
      <c r="H6" s="37" t="s">
        <v>3</v>
      </c>
      <c r="I6" s="37"/>
    </row>
    <row r="7" spans="2:9" ht="30" customHeight="1" x14ac:dyDescent="0.15">
      <c r="G7" s="38" t="s">
        <v>277</v>
      </c>
      <c r="H7" s="38"/>
      <c r="I7" s="38"/>
    </row>
    <row r="8" spans="2:9" ht="20.100000000000001" customHeight="1" x14ac:dyDescent="0.15">
      <c r="G8" s="38" t="s">
        <v>4</v>
      </c>
      <c r="H8" s="38"/>
      <c r="I8" s="38"/>
    </row>
    <row r="9" spans="2:9" ht="9.75" customHeight="1" x14ac:dyDescent="0.15"/>
    <row r="10" spans="2:9" ht="20.25" customHeight="1" x14ac:dyDescent="0.15">
      <c r="B10" s="42" t="s">
        <v>5</v>
      </c>
      <c r="C10" s="42"/>
      <c r="D10" s="42"/>
      <c r="E10" s="42"/>
      <c r="F10" s="42"/>
      <c r="G10" s="42"/>
      <c r="H10" s="6"/>
      <c r="I10" s="6"/>
    </row>
    <row r="11" spans="2:9" ht="30" customHeight="1" x14ac:dyDescent="0.15">
      <c r="B11" s="42" t="s">
        <v>278</v>
      </c>
      <c r="C11" s="42"/>
      <c r="D11" s="42"/>
      <c r="E11" s="42"/>
      <c r="F11" s="42"/>
      <c r="G11" s="42"/>
      <c r="H11" s="6"/>
      <c r="I11" s="6"/>
    </row>
    <row r="12" spans="2:9" ht="18.75" customHeight="1" x14ac:dyDescent="0.15">
      <c r="E12" s="7"/>
      <c r="F12" s="7"/>
      <c r="G12" s="8"/>
      <c r="H12" s="23" t="s">
        <v>6</v>
      </c>
      <c r="I12" s="23" t="s">
        <v>6</v>
      </c>
    </row>
    <row r="13" spans="2:9" ht="18.75" customHeight="1" x14ac:dyDescent="0.15">
      <c r="C13" s="8" t="s">
        <v>7</v>
      </c>
      <c r="D13" s="43" t="s">
        <v>279</v>
      </c>
      <c r="E13" s="43"/>
      <c r="F13" s="43"/>
      <c r="G13" s="8" t="s">
        <v>8</v>
      </c>
      <c r="H13" s="23" t="s">
        <v>280</v>
      </c>
      <c r="I13" s="23"/>
    </row>
    <row r="14" spans="2:9" ht="18.75" customHeight="1" x14ac:dyDescent="0.15">
      <c r="G14" s="8" t="s">
        <v>9</v>
      </c>
      <c r="H14" s="20">
        <v>52302592</v>
      </c>
      <c r="I14" s="20"/>
    </row>
    <row r="15" spans="2:9" ht="26.25" customHeight="1" x14ac:dyDescent="0.15">
      <c r="B15" s="7" t="s">
        <v>10</v>
      </c>
      <c r="C15" s="39" t="s">
        <v>264</v>
      </c>
      <c r="D15" s="39"/>
      <c r="E15" s="39"/>
      <c r="F15" s="39"/>
      <c r="G15" s="8" t="s">
        <v>11</v>
      </c>
      <c r="H15" s="20">
        <v>504</v>
      </c>
      <c r="I15" s="20"/>
    </row>
    <row r="16" spans="2:9" ht="18.75" customHeight="1" x14ac:dyDescent="0.15">
      <c r="G16" s="8" t="s">
        <v>9</v>
      </c>
      <c r="H16" s="20">
        <v>52320518</v>
      </c>
      <c r="I16" s="20"/>
    </row>
    <row r="17" spans="1:9" ht="18.75" customHeight="1" x14ac:dyDescent="0.15">
      <c r="G17" s="8" t="s">
        <v>12</v>
      </c>
      <c r="H17" s="20">
        <v>5512004494</v>
      </c>
      <c r="I17" s="20"/>
    </row>
    <row r="18" spans="1:9" ht="30.75" customHeight="1" x14ac:dyDescent="0.15">
      <c r="B18" s="7" t="s">
        <v>13</v>
      </c>
      <c r="C18" s="39" t="s">
        <v>275</v>
      </c>
      <c r="D18" s="39"/>
      <c r="E18" s="39"/>
      <c r="F18" s="39"/>
      <c r="G18" s="8" t="s">
        <v>14</v>
      </c>
      <c r="H18" s="20">
        <v>551201001</v>
      </c>
      <c r="I18" s="20" t="s">
        <v>18</v>
      </c>
    </row>
    <row r="19" spans="1:9" ht="18.75" customHeight="1" x14ac:dyDescent="0.15">
      <c r="B19" s="7" t="s">
        <v>15</v>
      </c>
      <c r="C19" s="7" t="s">
        <v>16</v>
      </c>
      <c r="D19" s="7"/>
      <c r="E19" s="7"/>
      <c r="F19" s="7"/>
      <c r="G19" s="8" t="s">
        <v>17</v>
      </c>
      <c r="H19" s="20" t="s">
        <v>18</v>
      </c>
    </row>
    <row r="20" spans="1:9" ht="16.5" customHeight="1" x14ac:dyDescent="0.15">
      <c r="B20" s="19"/>
      <c r="C20" s="19"/>
      <c r="D20" s="19"/>
      <c r="E20" s="19"/>
      <c r="F20" s="19"/>
      <c r="G20" s="19"/>
      <c r="H20" s="19"/>
      <c r="I20" s="19"/>
    </row>
    <row r="21" spans="1:9" ht="30.75" customHeight="1" x14ac:dyDescent="0.15">
      <c r="B21" s="39" t="s">
        <v>19</v>
      </c>
      <c r="C21" s="39"/>
      <c r="D21" s="39"/>
      <c r="E21" s="39"/>
      <c r="F21" s="39"/>
      <c r="G21" s="39"/>
      <c r="H21" s="39"/>
    </row>
    <row r="22" spans="1:9" ht="18" customHeight="1" x14ac:dyDescent="0.15"/>
    <row r="23" spans="1:9" ht="19.5" customHeight="1" x14ac:dyDescent="0.15">
      <c r="A23" s="40" t="s">
        <v>20</v>
      </c>
      <c r="B23" s="40"/>
      <c r="C23" s="41" t="s">
        <v>21</v>
      </c>
      <c r="D23" s="41" t="s">
        <v>22</v>
      </c>
      <c r="E23" s="41" t="s">
        <v>23</v>
      </c>
      <c r="F23" s="41" t="s">
        <v>24</v>
      </c>
      <c r="G23" s="41"/>
      <c r="H23" s="41"/>
    </row>
    <row r="24" spans="1:9" ht="27" customHeight="1" x14ac:dyDescent="0.15">
      <c r="A24" s="40"/>
      <c r="B24" s="40"/>
      <c r="C24" s="41"/>
      <c r="D24" s="41"/>
      <c r="E24" s="41"/>
      <c r="F24" s="24" t="s">
        <v>273</v>
      </c>
      <c r="G24" s="24" t="s">
        <v>274</v>
      </c>
      <c r="H24" s="24" t="s">
        <v>281</v>
      </c>
    </row>
    <row r="25" spans="1:9" ht="16.5" customHeight="1" x14ac:dyDescent="0.15">
      <c r="A25" s="46">
        <v>1</v>
      </c>
      <c r="B25" s="46"/>
      <c r="C25" s="18">
        <v>2</v>
      </c>
      <c r="D25" s="18">
        <v>3</v>
      </c>
      <c r="E25" s="18">
        <v>4</v>
      </c>
      <c r="F25" s="18">
        <v>5</v>
      </c>
      <c r="G25" s="18">
        <v>6</v>
      </c>
      <c r="H25" s="18">
        <v>7</v>
      </c>
    </row>
    <row r="26" spans="1:9" ht="16.5" customHeight="1" x14ac:dyDescent="0.15">
      <c r="A26" s="44" t="s">
        <v>25</v>
      </c>
      <c r="B26" s="44"/>
      <c r="C26" s="20" t="s">
        <v>26</v>
      </c>
      <c r="D26" s="20" t="s">
        <v>27</v>
      </c>
      <c r="E26" s="20" t="s">
        <v>27</v>
      </c>
      <c r="F26" s="11">
        <v>0</v>
      </c>
      <c r="G26" s="11">
        <v>0</v>
      </c>
      <c r="H26" s="11">
        <v>0</v>
      </c>
      <c r="I26" s="17" t="s">
        <v>28</v>
      </c>
    </row>
    <row r="27" spans="1:9" ht="16.5" customHeight="1" x14ac:dyDescent="0.15">
      <c r="A27" s="44" t="s">
        <v>29</v>
      </c>
      <c r="B27" s="44"/>
      <c r="C27" s="20" t="s">
        <v>30</v>
      </c>
      <c r="D27" s="20" t="s">
        <v>27</v>
      </c>
      <c r="E27" s="20" t="s">
        <v>27</v>
      </c>
      <c r="F27" s="11">
        <f>F26+F28-F46</f>
        <v>0</v>
      </c>
      <c r="G27" s="11">
        <f t="shared" ref="G27:H27" si="0">G26+G28-G46</f>
        <v>0</v>
      </c>
      <c r="H27" s="11">
        <f t="shared" si="0"/>
        <v>0</v>
      </c>
      <c r="I27" s="17" t="s">
        <v>28</v>
      </c>
    </row>
    <row r="28" spans="1:9" ht="16.5" customHeight="1" x14ac:dyDescent="0.15">
      <c r="A28" s="44" t="s">
        <v>31</v>
      </c>
      <c r="B28" s="44"/>
      <c r="C28" s="20" t="s">
        <v>32</v>
      </c>
      <c r="D28" s="20"/>
      <c r="E28" s="20"/>
      <c r="F28" s="11">
        <f>F29+F30+F34+F35+F39+F40+F41</f>
        <v>7409104</v>
      </c>
      <c r="G28" s="4">
        <f t="shared" ref="G28:H28" si="1">G29+G30+G34+G35+G39+G40</f>
        <v>7316989</v>
      </c>
      <c r="H28" s="4">
        <f t="shared" si="1"/>
        <v>7413770</v>
      </c>
      <c r="I28" s="17" t="s">
        <v>28</v>
      </c>
    </row>
    <row r="29" spans="1:9" ht="21.75" customHeight="1" x14ac:dyDescent="0.15">
      <c r="A29" s="44" t="s">
        <v>33</v>
      </c>
      <c r="B29" s="44"/>
      <c r="C29" s="12" t="s">
        <v>34</v>
      </c>
      <c r="D29" s="20" t="s">
        <v>35</v>
      </c>
      <c r="E29" s="20"/>
      <c r="F29" s="9">
        <v>0</v>
      </c>
      <c r="G29" s="3"/>
      <c r="H29" s="3"/>
      <c r="I29" s="17" t="s">
        <v>28</v>
      </c>
    </row>
    <row r="30" spans="1:9" ht="18.75" customHeight="1" x14ac:dyDescent="0.15">
      <c r="A30" s="44" t="s">
        <v>36</v>
      </c>
      <c r="B30" s="44"/>
      <c r="C30" s="12" t="s">
        <v>37</v>
      </c>
      <c r="D30" s="20" t="s">
        <v>38</v>
      </c>
      <c r="E30" s="20"/>
      <c r="F30" s="11">
        <f>F31+F32+F33</f>
        <v>7409104</v>
      </c>
      <c r="G30" s="4">
        <f t="shared" ref="G30:H30" si="2">G31+G32+G33</f>
        <v>7316989</v>
      </c>
      <c r="H30" s="4">
        <f t="shared" si="2"/>
        <v>7413770</v>
      </c>
      <c r="I30" s="17" t="s">
        <v>28</v>
      </c>
    </row>
    <row r="31" spans="1:9" ht="46.5" customHeight="1" x14ac:dyDescent="0.15">
      <c r="A31" s="44" t="s">
        <v>39</v>
      </c>
      <c r="B31" s="44"/>
      <c r="C31" s="20" t="s">
        <v>40</v>
      </c>
      <c r="D31" s="20" t="s">
        <v>38</v>
      </c>
      <c r="E31" s="20"/>
      <c r="F31" s="25">
        <v>7409104</v>
      </c>
      <c r="G31" s="3">
        <v>7316989</v>
      </c>
      <c r="H31" s="3">
        <v>7413770</v>
      </c>
      <c r="I31" s="17" t="s">
        <v>28</v>
      </c>
    </row>
    <row r="32" spans="1:9" ht="34.5" customHeight="1" x14ac:dyDescent="0.15">
      <c r="A32" s="44" t="s">
        <v>41</v>
      </c>
      <c r="B32" s="44"/>
      <c r="C32" s="20" t="s">
        <v>42</v>
      </c>
      <c r="D32" s="20" t="s">
        <v>38</v>
      </c>
      <c r="E32" s="20"/>
      <c r="F32" s="9">
        <v>0</v>
      </c>
      <c r="G32" s="3">
        <v>0</v>
      </c>
      <c r="H32" s="3">
        <v>0</v>
      </c>
      <c r="I32" s="17" t="s">
        <v>28</v>
      </c>
    </row>
    <row r="33" spans="1:9" ht="21.75" customHeight="1" x14ac:dyDescent="0.15">
      <c r="A33" s="45" t="s">
        <v>263</v>
      </c>
      <c r="B33" s="44"/>
      <c r="C33" s="20">
        <v>1230</v>
      </c>
      <c r="D33" s="20">
        <v>130</v>
      </c>
      <c r="E33" s="20"/>
      <c r="F33" s="13">
        <v>0</v>
      </c>
      <c r="G33" s="3">
        <v>0</v>
      </c>
      <c r="H33" s="3">
        <v>0</v>
      </c>
      <c r="I33" s="18"/>
    </row>
    <row r="34" spans="1:9" ht="19.5" customHeight="1" x14ac:dyDescent="0.15">
      <c r="A34" s="44" t="s">
        <v>43</v>
      </c>
      <c r="B34" s="44"/>
      <c r="C34" s="12" t="s">
        <v>44</v>
      </c>
      <c r="D34" s="20" t="s">
        <v>45</v>
      </c>
      <c r="E34" s="20"/>
      <c r="F34" s="11">
        <v>0</v>
      </c>
      <c r="G34" s="3">
        <v>0</v>
      </c>
      <c r="H34" s="3">
        <v>0</v>
      </c>
      <c r="I34" s="17" t="s">
        <v>28</v>
      </c>
    </row>
    <row r="35" spans="1:9" ht="19.5" customHeight="1" x14ac:dyDescent="0.15">
      <c r="A35" s="44" t="s">
        <v>46</v>
      </c>
      <c r="B35" s="44"/>
      <c r="C35" s="12" t="s">
        <v>47</v>
      </c>
      <c r="D35" s="20" t="s">
        <v>48</v>
      </c>
      <c r="E35" s="20"/>
      <c r="F35" s="11">
        <f t="shared" ref="F35:H35" si="3">F36+F37+F38</f>
        <v>0</v>
      </c>
      <c r="G35" s="4">
        <f t="shared" si="3"/>
        <v>0</v>
      </c>
      <c r="H35" s="4">
        <f t="shared" si="3"/>
        <v>0</v>
      </c>
      <c r="I35" s="17" t="s">
        <v>28</v>
      </c>
    </row>
    <row r="36" spans="1:9" ht="19.5" customHeight="1" x14ac:dyDescent="0.15">
      <c r="A36" s="44" t="s">
        <v>49</v>
      </c>
      <c r="B36" s="44"/>
      <c r="C36" s="20" t="s">
        <v>50</v>
      </c>
      <c r="D36" s="20" t="s">
        <v>48</v>
      </c>
      <c r="E36" s="20"/>
      <c r="F36" s="13">
        <v>0</v>
      </c>
      <c r="G36" s="3">
        <v>0</v>
      </c>
      <c r="H36" s="3">
        <v>0</v>
      </c>
      <c r="I36" s="17" t="s">
        <v>28</v>
      </c>
    </row>
    <row r="37" spans="1:9" ht="19.5" customHeight="1" x14ac:dyDescent="0.15">
      <c r="A37" s="44" t="s">
        <v>51</v>
      </c>
      <c r="B37" s="44"/>
      <c r="C37" s="20" t="s">
        <v>52</v>
      </c>
      <c r="D37" s="20" t="s">
        <v>48</v>
      </c>
      <c r="E37" s="20"/>
      <c r="F37" s="9">
        <v>0</v>
      </c>
      <c r="G37" s="3">
        <v>0</v>
      </c>
      <c r="H37" s="3">
        <v>0</v>
      </c>
      <c r="I37" s="17" t="s">
        <v>28</v>
      </c>
    </row>
    <row r="38" spans="1:9" ht="19.5" customHeight="1" x14ac:dyDescent="0.15">
      <c r="A38" s="45" t="s">
        <v>263</v>
      </c>
      <c r="B38" s="44"/>
      <c r="C38" s="20">
        <v>1430</v>
      </c>
      <c r="D38" s="20">
        <v>150</v>
      </c>
      <c r="E38" s="20"/>
      <c r="F38" s="9">
        <v>0</v>
      </c>
      <c r="G38" s="3">
        <v>0</v>
      </c>
      <c r="H38" s="3">
        <v>0</v>
      </c>
      <c r="I38" s="18"/>
    </row>
    <row r="39" spans="1:9" ht="19.5" customHeight="1" x14ac:dyDescent="0.15">
      <c r="A39" s="44" t="s">
        <v>53</v>
      </c>
      <c r="B39" s="44"/>
      <c r="C39" s="12" t="s">
        <v>54</v>
      </c>
      <c r="D39" s="20" t="s">
        <v>55</v>
      </c>
      <c r="E39" s="20"/>
      <c r="F39" s="11">
        <v>0</v>
      </c>
      <c r="G39" s="3">
        <v>0</v>
      </c>
      <c r="H39" s="3">
        <v>0</v>
      </c>
      <c r="I39" s="17" t="s">
        <v>28</v>
      </c>
    </row>
    <row r="40" spans="1:9" ht="19.5" customHeight="1" x14ac:dyDescent="0.15">
      <c r="A40" s="44" t="s">
        <v>56</v>
      </c>
      <c r="B40" s="44"/>
      <c r="C40" s="12" t="s">
        <v>57</v>
      </c>
      <c r="D40" s="20"/>
      <c r="E40" s="20"/>
      <c r="F40" s="11">
        <v>0</v>
      </c>
      <c r="G40" s="3">
        <v>0</v>
      </c>
      <c r="H40" s="3">
        <v>0</v>
      </c>
      <c r="I40" s="17" t="s">
        <v>28</v>
      </c>
    </row>
    <row r="41" spans="1:9" ht="19.5" customHeight="1" x14ac:dyDescent="0.15">
      <c r="A41" s="44" t="s">
        <v>58</v>
      </c>
      <c r="B41" s="44"/>
      <c r="C41" s="12" t="s">
        <v>59</v>
      </c>
      <c r="D41" s="20" t="s">
        <v>27</v>
      </c>
      <c r="E41" s="20"/>
      <c r="F41" s="11">
        <f>F42+F43+F44+F45</f>
        <v>0</v>
      </c>
      <c r="G41" s="3">
        <v>0</v>
      </c>
      <c r="H41" s="3">
        <v>0</v>
      </c>
      <c r="I41" s="17" t="s">
        <v>28</v>
      </c>
    </row>
    <row r="42" spans="1:9" ht="35.25" customHeight="1" x14ac:dyDescent="0.15">
      <c r="A42" s="44" t="s">
        <v>60</v>
      </c>
      <c r="B42" s="44"/>
      <c r="C42" s="20" t="s">
        <v>61</v>
      </c>
      <c r="D42" s="20" t="s">
        <v>62</v>
      </c>
      <c r="E42" s="20"/>
      <c r="F42" s="9">
        <v>0</v>
      </c>
      <c r="G42" s="3">
        <v>0</v>
      </c>
      <c r="H42" s="3">
        <v>0</v>
      </c>
      <c r="I42" s="17" t="s">
        <v>28</v>
      </c>
    </row>
    <row r="43" spans="1:9" ht="35.25" customHeight="1" x14ac:dyDescent="0.15">
      <c r="A43" s="44" t="s">
        <v>63</v>
      </c>
      <c r="B43" s="44"/>
      <c r="C43" s="20" t="s">
        <v>64</v>
      </c>
      <c r="D43" s="20" t="s">
        <v>62</v>
      </c>
      <c r="E43" s="20"/>
      <c r="F43" s="9">
        <v>0</v>
      </c>
      <c r="G43" s="3">
        <v>0</v>
      </c>
      <c r="H43" s="3">
        <v>0</v>
      </c>
      <c r="I43" s="17" t="s">
        <v>28</v>
      </c>
    </row>
    <row r="44" spans="1:9" ht="22.5" customHeight="1" x14ac:dyDescent="0.15">
      <c r="A44" s="44" t="s">
        <v>65</v>
      </c>
      <c r="B44" s="44"/>
      <c r="C44" s="20" t="s">
        <v>66</v>
      </c>
      <c r="D44" s="20" t="s">
        <v>62</v>
      </c>
      <c r="E44" s="20"/>
      <c r="F44" s="13">
        <v>0</v>
      </c>
      <c r="G44" s="3">
        <v>0</v>
      </c>
      <c r="H44" s="3">
        <v>0</v>
      </c>
      <c r="I44" s="17" t="s">
        <v>28</v>
      </c>
    </row>
    <row r="45" spans="1:9" ht="27.75" customHeight="1" x14ac:dyDescent="0.15">
      <c r="A45" s="44" t="s">
        <v>67</v>
      </c>
      <c r="B45" s="44"/>
      <c r="C45" s="20" t="s">
        <v>68</v>
      </c>
      <c r="D45" s="20" t="s">
        <v>62</v>
      </c>
      <c r="E45" s="20"/>
      <c r="F45" s="13">
        <v>0</v>
      </c>
      <c r="G45" s="3">
        <v>0</v>
      </c>
      <c r="H45" s="3">
        <v>0</v>
      </c>
      <c r="I45" s="17" t="s">
        <v>28</v>
      </c>
    </row>
    <row r="46" spans="1:9" ht="18" customHeight="1" x14ac:dyDescent="0.15">
      <c r="A46" s="44" t="s">
        <v>69</v>
      </c>
      <c r="B46" s="44"/>
      <c r="C46" s="18" t="s">
        <v>70</v>
      </c>
      <c r="D46" s="18" t="s">
        <v>27</v>
      </c>
      <c r="E46" s="18"/>
      <c r="F46" s="4">
        <f>F47+F57+F63+F67+F71+F73</f>
        <v>7409104</v>
      </c>
      <c r="G46" s="4">
        <f t="shared" ref="G46:H46" si="4">G47+G57+G63+G67+G71+G73</f>
        <v>7316989</v>
      </c>
      <c r="H46" s="4">
        <f t="shared" si="4"/>
        <v>7413770</v>
      </c>
      <c r="I46" s="17" t="s">
        <v>28</v>
      </c>
    </row>
    <row r="47" spans="1:9" ht="26.25" customHeight="1" x14ac:dyDescent="0.15">
      <c r="A47" s="44" t="s">
        <v>71</v>
      </c>
      <c r="B47" s="44"/>
      <c r="C47" s="18" t="s">
        <v>72</v>
      </c>
      <c r="D47" s="18" t="s">
        <v>27</v>
      </c>
      <c r="E47" s="18"/>
      <c r="F47" s="4">
        <f>F48+F49+F50+F51+F54+F55+F56</f>
        <v>4537000</v>
      </c>
      <c r="G47" s="4">
        <f t="shared" ref="G47:H47" si="5">G48+G49+G50+G51+G54+G55+G56</f>
        <v>4537000</v>
      </c>
      <c r="H47" s="4">
        <f t="shared" si="5"/>
        <v>4537000</v>
      </c>
      <c r="I47" s="17" t="s">
        <v>28</v>
      </c>
    </row>
    <row r="48" spans="1:9" ht="24" customHeight="1" x14ac:dyDescent="0.15">
      <c r="A48" s="44" t="s">
        <v>73</v>
      </c>
      <c r="B48" s="44"/>
      <c r="C48" s="18" t="s">
        <v>74</v>
      </c>
      <c r="D48" s="18" t="s">
        <v>75</v>
      </c>
      <c r="E48" s="18"/>
      <c r="F48" s="3">
        <v>3494639</v>
      </c>
      <c r="G48" s="3">
        <v>3494639</v>
      </c>
      <c r="H48" s="3">
        <v>3494639</v>
      </c>
      <c r="I48" s="17" t="s">
        <v>28</v>
      </c>
    </row>
    <row r="49" spans="1:9" ht="17.25" customHeight="1" x14ac:dyDescent="0.15">
      <c r="A49" s="44" t="s">
        <v>76</v>
      </c>
      <c r="B49" s="44"/>
      <c r="C49" s="18" t="s">
        <v>77</v>
      </c>
      <c r="D49" s="18" t="s">
        <v>78</v>
      </c>
      <c r="E49" s="18"/>
      <c r="F49" s="3">
        <v>0</v>
      </c>
      <c r="G49" s="3">
        <v>0</v>
      </c>
      <c r="H49" s="3">
        <v>0</v>
      </c>
      <c r="I49" s="17" t="s">
        <v>28</v>
      </c>
    </row>
    <row r="50" spans="1:9" ht="33" customHeight="1" x14ac:dyDescent="0.15">
      <c r="A50" s="44" t="s">
        <v>79</v>
      </c>
      <c r="B50" s="44"/>
      <c r="C50" s="18" t="s">
        <v>80</v>
      </c>
      <c r="D50" s="18" t="s">
        <v>81</v>
      </c>
      <c r="E50" s="18"/>
      <c r="F50" s="3">
        <v>0</v>
      </c>
      <c r="G50" s="3">
        <v>0</v>
      </c>
      <c r="H50" s="3">
        <v>0</v>
      </c>
      <c r="I50" s="17" t="s">
        <v>28</v>
      </c>
    </row>
    <row r="51" spans="1:9" ht="28.5" customHeight="1" x14ac:dyDescent="0.15">
      <c r="A51" s="44" t="s">
        <v>82</v>
      </c>
      <c r="B51" s="44"/>
      <c r="C51" s="18" t="s">
        <v>83</v>
      </c>
      <c r="D51" s="18" t="s">
        <v>84</v>
      </c>
      <c r="E51" s="18"/>
      <c r="F51" s="4">
        <f>F52+F53</f>
        <v>1042361</v>
      </c>
      <c r="G51" s="4">
        <f t="shared" ref="G51:H51" si="6">G52+G53</f>
        <v>1042361</v>
      </c>
      <c r="H51" s="4">
        <f t="shared" si="6"/>
        <v>1042361</v>
      </c>
      <c r="I51" s="17" t="s">
        <v>28</v>
      </c>
    </row>
    <row r="52" spans="1:9" ht="24" customHeight="1" x14ac:dyDescent="0.15">
      <c r="A52" s="44" t="s">
        <v>85</v>
      </c>
      <c r="B52" s="44"/>
      <c r="C52" s="18" t="s">
        <v>86</v>
      </c>
      <c r="D52" s="18" t="s">
        <v>84</v>
      </c>
      <c r="E52" s="18"/>
      <c r="F52" s="3">
        <v>1042361</v>
      </c>
      <c r="G52" s="3">
        <v>1042361</v>
      </c>
      <c r="H52" s="3">
        <v>1042361</v>
      </c>
      <c r="I52" s="17" t="s">
        <v>28</v>
      </c>
    </row>
    <row r="53" spans="1:9" ht="17.25" customHeight="1" x14ac:dyDescent="0.15">
      <c r="A53" s="44" t="s">
        <v>87</v>
      </c>
      <c r="B53" s="44"/>
      <c r="C53" s="18" t="s">
        <v>88</v>
      </c>
      <c r="D53" s="18" t="s">
        <v>84</v>
      </c>
      <c r="E53" s="18"/>
      <c r="F53" s="3">
        <v>0</v>
      </c>
      <c r="G53" s="3">
        <v>0</v>
      </c>
      <c r="H53" s="3">
        <v>0</v>
      </c>
      <c r="I53" s="17" t="s">
        <v>28</v>
      </c>
    </row>
    <row r="54" spans="1:9" ht="24.75" customHeight="1" x14ac:dyDescent="0.15">
      <c r="A54" s="44" t="s">
        <v>89</v>
      </c>
      <c r="B54" s="44"/>
      <c r="C54" s="18" t="s">
        <v>90</v>
      </c>
      <c r="D54" s="18" t="s">
        <v>91</v>
      </c>
      <c r="E54" s="18"/>
      <c r="F54" s="3">
        <v>0</v>
      </c>
      <c r="G54" s="3">
        <v>0</v>
      </c>
      <c r="H54" s="3">
        <v>0</v>
      </c>
      <c r="I54" s="17" t="s">
        <v>28</v>
      </c>
    </row>
    <row r="55" spans="1:9" ht="27" customHeight="1" x14ac:dyDescent="0.15">
      <c r="A55" s="44" t="s">
        <v>92</v>
      </c>
      <c r="B55" s="44"/>
      <c r="C55" s="18" t="s">
        <v>93</v>
      </c>
      <c r="D55" s="18" t="s">
        <v>94</v>
      </c>
      <c r="E55" s="18"/>
      <c r="F55" s="3">
        <v>0</v>
      </c>
      <c r="G55" s="3">
        <v>0</v>
      </c>
      <c r="H55" s="3">
        <v>0</v>
      </c>
      <c r="I55" s="17" t="s">
        <v>28</v>
      </c>
    </row>
    <row r="56" spans="1:9" ht="26.25" customHeight="1" x14ac:dyDescent="0.15">
      <c r="A56" s="44" t="s">
        <v>95</v>
      </c>
      <c r="B56" s="44"/>
      <c r="C56" s="18" t="s">
        <v>96</v>
      </c>
      <c r="D56" s="18" t="s">
        <v>97</v>
      </c>
      <c r="E56" s="18"/>
      <c r="F56" s="3">
        <v>0</v>
      </c>
      <c r="G56" s="3">
        <v>0</v>
      </c>
      <c r="H56" s="3">
        <v>0</v>
      </c>
      <c r="I56" s="17" t="s">
        <v>28</v>
      </c>
    </row>
    <row r="57" spans="1:9" ht="24.75" customHeight="1" x14ac:dyDescent="0.15">
      <c r="A57" s="44" t="s">
        <v>98</v>
      </c>
      <c r="B57" s="44"/>
      <c r="C57" s="18" t="s">
        <v>99</v>
      </c>
      <c r="D57" s="18" t="s">
        <v>100</v>
      </c>
      <c r="E57" s="18"/>
      <c r="F57" s="4">
        <f>F58+F59+F60+F61+F62</f>
        <v>0</v>
      </c>
      <c r="G57" s="4">
        <f t="shared" ref="G57:H57" si="7">G58+G59+G60+G61+G62</f>
        <v>0</v>
      </c>
      <c r="H57" s="4">
        <f t="shared" si="7"/>
        <v>0</v>
      </c>
      <c r="I57" s="17" t="s">
        <v>28</v>
      </c>
    </row>
    <row r="58" spans="1:9" ht="33.75" customHeight="1" x14ac:dyDescent="0.15">
      <c r="A58" s="44" t="s">
        <v>101</v>
      </c>
      <c r="B58" s="44"/>
      <c r="C58" s="18" t="s">
        <v>102</v>
      </c>
      <c r="D58" s="18" t="s">
        <v>103</v>
      </c>
      <c r="E58" s="18"/>
      <c r="F58" s="3">
        <v>0</v>
      </c>
      <c r="G58" s="3">
        <v>0</v>
      </c>
      <c r="H58" s="3">
        <v>0</v>
      </c>
      <c r="I58" s="17" t="s">
        <v>28</v>
      </c>
    </row>
    <row r="59" spans="1:9" ht="41.25" customHeight="1" x14ac:dyDescent="0.15">
      <c r="A59" s="44" t="s">
        <v>104</v>
      </c>
      <c r="B59" s="44"/>
      <c r="C59" s="18" t="s">
        <v>105</v>
      </c>
      <c r="D59" s="18" t="s">
        <v>106</v>
      </c>
      <c r="E59" s="18"/>
      <c r="F59" s="3">
        <v>0</v>
      </c>
      <c r="G59" s="3">
        <v>0</v>
      </c>
      <c r="H59" s="3">
        <v>0</v>
      </c>
      <c r="I59" s="17" t="s">
        <v>28</v>
      </c>
    </row>
    <row r="60" spans="1:9" ht="33.75" customHeight="1" x14ac:dyDescent="0.15">
      <c r="A60" s="44" t="s">
        <v>107</v>
      </c>
      <c r="B60" s="44"/>
      <c r="C60" s="18" t="s">
        <v>108</v>
      </c>
      <c r="D60" s="18" t="s">
        <v>109</v>
      </c>
      <c r="E60" s="18"/>
      <c r="F60" s="3">
        <v>0</v>
      </c>
      <c r="G60" s="3">
        <v>0</v>
      </c>
      <c r="H60" s="3">
        <v>0</v>
      </c>
      <c r="I60" s="17" t="s">
        <v>28</v>
      </c>
    </row>
    <row r="61" spans="1:9" ht="46.5" customHeight="1" x14ac:dyDescent="0.15">
      <c r="A61" s="44" t="s">
        <v>110</v>
      </c>
      <c r="B61" s="44"/>
      <c r="C61" s="18" t="s">
        <v>111</v>
      </c>
      <c r="D61" s="18" t="s">
        <v>112</v>
      </c>
      <c r="E61" s="18"/>
      <c r="F61" s="3">
        <v>0</v>
      </c>
      <c r="G61" s="3">
        <v>0</v>
      </c>
      <c r="H61" s="3">
        <v>0</v>
      </c>
      <c r="I61" s="17" t="s">
        <v>28</v>
      </c>
    </row>
    <row r="62" spans="1:9" ht="24.75" customHeight="1" x14ac:dyDescent="0.15">
      <c r="A62" s="44" t="s">
        <v>113</v>
      </c>
      <c r="B62" s="44"/>
      <c r="C62" s="18" t="s">
        <v>114</v>
      </c>
      <c r="D62" s="18" t="s">
        <v>115</v>
      </c>
      <c r="E62" s="18"/>
      <c r="F62" s="3">
        <v>0</v>
      </c>
      <c r="G62" s="3">
        <v>0</v>
      </c>
      <c r="H62" s="3">
        <v>0</v>
      </c>
      <c r="I62" s="17" t="s">
        <v>28</v>
      </c>
    </row>
    <row r="63" spans="1:9" ht="19.5" customHeight="1" x14ac:dyDescent="0.15">
      <c r="A63" s="44" t="s">
        <v>116</v>
      </c>
      <c r="B63" s="44"/>
      <c r="C63" s="18" t="s">
        <v>117</v>
      </c>
      <c r="D63" s="18" t="s">
        <v>118</v>
      </c>
      <c r="E63" s="18"/>
      <c r="F63" s="4">
        <f>F64+F65+F66</f>
        <v>16140</v>
      </c>
      <c r="G63" s="4">
        <f t="shared" ref="G63:H63" si="8">G64+G65+G66</f>
        <v>16140</v>
      </c>
      <c r="H63" s="4">
        <f t="shared" si="8"/>
        <v>16140</v>
      </c>
      <c r="I63" s="17" t="s">
        <v>28</v>
      </c>
    </row>
    <row r="64" spans="1:9" ht="24" customHeight="1" x14ac:dyDescent="0.15">
      <c r="A64" s="44" t="s">
        <v>119</v>
      </c>
      <c r="B64" s="44"/>
      <c r="C64" s="18" t="s">
        <v>120</v>
      </c>
      <c r="D64" s="18" t="s">
        <v>121</v>
      </c>
      <c r="E64" s="18"/>
      <c r="F64" s="3">
        <v>16140</v>
      </c>
      <c r="G64" s="3">
        <v>16140</v>
      </c>
      <c r="H64" s="3">
        <v>16140</v>
      </c>
      <c r="I64" s="17" t="s">
        <v>28</v>
      </c>
    </row>
    <row r="65" spans="1:9" ht="24" customHeight="1" x14ac:dyDescent="0.15">
      <c r="A65" s="44" t="s">
        <v>122</v>
      </c>
      <c r="B65" s="44"/>
      <c r="C65" s="18" t="s">
        <v>123</v>
      </c>
      <c r="D65" s="18" t="s">
        <v>124</v>
      </c>
      <c r="E65" s="18"/>
      <c r="F65" s="3">
        <v>0</v>
      </c>
      <c r="G65" s="3">
        <v>0</v>
      </c>
      <c r="H65" s="3">
        <v>0</v>
      </c>
      <c r="I65" s="17" t="s">
        <v>28</v>
      </c>
    </row>
    <row r="66" spans="1:9" ht="22.5" customHeight="1" x14ac:dyDescent="0.15">
      <c r="A66" s="44" t="s">
        <v>125</v>
      </c>
      <c r="B66" s="44"/>
      <c r="C66" s="18" t="s">
        <v>126</v>
      </c>
      <c r="D66" s="18" t="s">
        <v>127</v>
      </c>
      <c r="E66" s="18"/>
      <c r="F66" s="3">
        <v>0</v>
      </c>
      <c r="G66" s="3">
        <v>0</v>
      </c>
      <c r="H66" s="3">
        <v>0</v>
      </c>
      <c r="I66" s="17" t="s">
        <v>28</v>
      </c>
    </row>
    <row r="67" spans="1:9" ht="18.75" customHeight="1" x14ac:dyDescent="0.15">
      <c r="A67" s="44" t="s">
        <v>128</v>
      </c>
      <c r="B67" s="44"/>
      <c r="C67" s="18" t="s">
        <v>129</v>
      </c>
      <c r="D67" s="18" t="s">
        <v>27</v>
      </c>
      <c r="E67" s="18"/>
      <c r="F67" s="4">
        <f>F68+F69+F70</f>
        <v>0</v>
      </c>
      <c r="G67" s="4">
        <f t="shared" ref="G67:H67" si="9">G68+G69+G70</f>
        <v>0</v>
      </c>
      <c r="H67" s="4">
        <f t="shared" si="9"/>
        <v>0</v>
      </c>
      <c r="I67" s="17" t="s">
        <v>28</v>
      </c>
    </row>
    <row r="68" spans="1:9" ht="22.5" customHeight="1" x14ac:dyDescent="0.15">
      <c r="A68" s="44" t="s">
        <v>130</v>
      </c>
      <c r="B68" s="44"/>
      <c r="C68" s="18" t="s">
        <v>131</v>
      </c>
      <c r="D68" s="18" t="s">
        <v>132</v>
      </c>
      <c r="E68" s="18"/>
      <c r="F68" s="3">
        <v>0</v>
      </c>
      <c r="G68" s="3">
        <v>0</v>
      </c>
      <c r="H68" s="3">
        <v>0</v>
      </c>
      <c r="I68" s="17" t="s">
        <v>28</v>
      </c>
    </row>
    <row r="69" spans="1:9" ht="19.5" customHeight="1" x14ac:dyDescent="0.15">
      <c r="A69" s="44" t="s">
        <v>134</v>
      </c>
      <c r="B69" s="44"/>
      <c r="C69" s="18" t="s">
        <v>135</v>
      </c>
      <c r="D69" s="18" t="s">
        <v>136</v>
      </c>
      <c r="E69" s="18"/>
      <c r="F69" s="3">
        <v>0</v>
      </c>
      <c r="G69" s="3">
        <v>0</v>
      </c>
      <c r="H69" s="3">
        <v>0</v>
      </c>
      <c r="I69" s="17" t="s">
        <v>28</v>
      </c>
    </row>
    <row r="70" spans="1:9" ht="27.75" customHeight="1" x14ac:dyDescent="0.15">
      <c r="A70" s="44" t="s">
        <v>137</v>
      </c>
      <c r="B70" s="44"/>
      <c r="C70" s="18" t="s">
        <v>138</v>
      </c>
      <c r="D70" s="18" t="s">
        <v>139</v>
      </c>
      <c r="E70" s="18"/>
      <c r="F70" s="3">
        <v>0</v>
      </c>
      <c r="G70" s="3">
        <v>0</v>
      </c>
      <c r="H70" s="3">
        <v>0</v>
      </c>
      <c r="I70" s="17" t="s">
        <v>28</v>
      </c>
    </row>
    <row r="71" spans="1:9" ht="18" customHeight="1" x14ac:dyDescent="0.15">
      <c r="A71" s="44" t="s">
        <v>140</v>
      </c>
      <c r="B71" s="44"/>
      <c r="C71" s="18" t="s">
        <v>141</v>
      </c>
      <c r="D71" s="18" t="s">
        <v>27</v>
      </c>
      <c r="E71" s="18"/>
      <c r="F71" s="4">
        <f>F72</f>
        <v>0</v>
      </c>
      <c r="G71" s="4">
        <f t="shared" ref="G71:H71" si="10">G72</f>
        <v>0</v>
      </c>
      <c r="H71" s="4">
        <f t="shared" si="10"/>
        <v>0</v>
      </c>
      <c r="I71" s="17" t="s">
        <v>28</v>
      </c>
    </row>
    <row r="72" spans="1:9" ht="33" customHeight="1" x14ac:dyDescent="0.15">
      <c r="A72" s="44" t="s">
        <v>142</v>
      </c>
      <c r="B72" s="44"/>
      <c r="C72" s="18" t="s">
        <v>143</v>
      </c>
      <c r="D72" s="18" t="s">
        <v>144</v>
      </c>
      <c r="E72" s="18"/>
      <c r="F72" s="3">
        <v>0</v>
      </c>
      <c r="G72" s="3">
        <v>0</v>
      </c>
      <c r="H72" s="3">
        <v>0</v>
      </c>
      <c r="I72" s="17" t="s">
        <v>28</v>
      </c>
    </row>
    <row r="73" spans="1:9" ht="18" customHeight="1" x14ac:dyDescent="0.15">
      <c r="A73" s="47" t="s">
        <v>145</v>
      </c>
      <c r="B73" s="47"/>
      <c r="C73" s="10" t="s">
        <v>146</v>
      </c>
      <c r="D73" s="20" t="s">
        <v>27</v>
      </c>
      <c r="E73" s="20"/>
      <c r="F73" s="11">
        <f>F74+F75+F76+F77+F78+F79</f>
        <v>2855964</v>
      </c>
      <c r="G73" s="11">
        <f t="shared" ref="G73:H73" si="11">G74+G75+G76+G77+G78+G79</f>
        <v>2763849</v>
      </c>
      <c r="H73" s="11">
        <f t="shared" si="11"/>
        <v>2860630</v>
      </c>
      <c r="I73" s="17" t="s">
        <v>28</v>
      </c>
    </row>
    <row r="74" spans="1:9" ht="21.75" customHeight="1" x14ac:dyDescent="0.15">
      <c r="A74" s="47" t="s">
        <v>147</v>
      </c>
      <c r="B74" s="47"/>
      <c r="C74" s="20" t="s">
        <v>148</v>
      </c>
      <c r="D74" s="20" t="s">
        <v>149</v>
      </c>
      <c r="E74" s="20"/>
      <c r="F74" s="9">
        <v>0</v>
      </c>
      <c r="G74" s="9">
        <v>0</v>
      </c>
      <c r="H74" s="9">
        <v>0</v>
      </c>
      <c r="I74" s="17" t="s">
        <v>28</v>
      </c>
    </row>
    <row r="75" spans="1:9" ht="26.25" customHeight="1" x14ac:dyDescent="0.15">
      <c r="A75" s="47" t="s">
        <v>150</v>
      </c>
      <c r="B75" s="47"/>
      <c r="C75" s="20" t="s">
        <v>151</v>
      </c>
      <c r="D75" s="20" t="s">
        <v>152</v>
      </c>
      <c r="E75" s="20"/>
      <c r="F75" s="9">
        <v>0</v>
      </c>
      <c r="G75" s="9">
        <v>0</v>
      </c>
      <c r="H75" s="9">
        <v>0</v>
      </c>
      <c r="I75" s="17" t="s">
        <v>28</v>
      </c>
    </row>
    <row r="76" spans="1:9" ht="21.75" customHeight="1" x14ac:dyDescent="0.15">
      <c r="A76" s="47" t="s">
        <v>153</v>
      </c>
      <c r="B76" s="47"/>
      <c r="C76" s="20" t="s">
        <v>154</v>
      </c>
      <c r="D76" s="20" t="s">
        <v>155</v>
      </c>
      <c r="E76" s="20"/>
      <c r="F76" s="9">
        <v>0</v>
      </c>
      <c r="G76" s="9">
        <v>0</v>
      </c>
      <c r="H76" s="9">
        <v>0</v>
      </c>
      <c r="I76" s="17" t="s">
        <v>28</v>
      </c>
    </row>
    <row r="77" spans="1:9" ht="24" customHeight="1" x14ac:dyDescent="0.15">
      <c r="A77" s="47" t="s">
        <v>156</v>
      </c>
      <c r="B77" s="47"/>
      <c r="C77" s="10" t="s">
        <v>157</v>
      </c>
      <c r="D77" s="10">
        <v>244</v>
      </c>
      <c r="E77" s="20"/>
      <c r="F77" s="9">
        <v>435678</v>
      </c>
      <c r="G77" s="9">
        <v>225678</v>
      </c>
      <c r="H77" s="9">
        <v>198678</v>
      </c>
      <c r="I77" s="17" t="s">
        <v>28</v>
      </c>
    </row>
    <row r="78" spans="1:9" ht="24" customHeight="1" x14ac:dyDescent="0.15">
      <c r="A78" s="48" t="s">
        <v>267</v>
      </c>
      <c r="B78" s="49"/>
      <c r="C78" s="10">
        <v>2660</v>
      </c>
      <c r="D78" s="10">
        <v>247</v>
      </c>
      <c r="E78" s="20"/>
      <c r="F78" s="9">
        <v>2420286</v>
      </c>
      <c r="G78" s="9">
        <v>2538171</v>
      </c>
      <c r="H78" s="9">
        <v>2661952</v>
      </c>
      <c r="I78" s="18"/>
    </row>
    <row r="79" spans="1:9" ht="24" customHeight="1" x14ac:dyDescent="0.15">
      <c r="A79" s="47" t="s">
        <v>158</v>
      </c>
      <c r="B79" s="47"/>
      <c r="C79" s="20" t="s">
        <v>159</v>
      </c>
      <c r="D79" s="20" t="s">
        <v>160</v>
      </c>
      <c r="E79" s="20"/>
      <c r="F79" s="11">
        <f>F80+F81</f>
        <v>0</v>
      </c>
      <c r="G79" s="11">
        <f t="shared" ref="G79:H79" si="12">G80+G81</f>
        <v>0</v>
      </c>
      <c r="H79" s="11">
        <f t="shared" si="12"/>
        <v>0</v>
      </c>
      <c r="I79" s="18"/>
    </row>
    <row r="80" spans="1:9" ht="24" customHeight="1" x14ac:dyDescent="0.15">
      <c r="A80" s="47" t="s">
        <v>161</v>
      </c>
      <c r="B80" s="47"/>
      <c r="C80" s="20" t="s">
        <v>162</v>
      </c>
      <c r="D80" s="20" t="s">
        <v>163</v>
      </c>
      <c r="E80" s="20"/>
      <c r="F80" s="9">
        <v>0</v>
      </c>
      <c r="G80" s="9">
        <v>0</v>
      </c>
      <c r="H80" s="9">
        <v>0</v>
      </c>
      <c r="I80" s="18"/>
    </row>
    <row r="81" spans="1:9" ht="24" customHeight="1" x14ac:dyDescent="0.15">
      <c r="A81" s="47" t="s">
        <v>164</v>
      </c>
      <c r="B81" s="47"/>
      <c r="C81" s="20" t="s">
        <v>165</v>
      </c>
      <c r="D81" s="20" t="s">
        <v>166</v>
      </c>
      <c r="E81" s="20"/>
      <c r="F81" s="9">
        <v>0</v>
      </c>
      <c r="G81" s="9">
        <v>0</v>
      </c>
      <c r="H81" s="9">
        <v>0</v>
      </c>
      <c r="I81" s="17" t="s">
        <v>28</v>
      </c>
    </row>
    <row r="82" spans="1:9" ht="36.75" customHeight="1" x14ac:dyDescent="0.15">
      <c r="A82" s="47" t="s">
        <v>167</v>
      </c>
      <c r="B82" s="47"/>
      <c r="C82" s="20" t="s">
        <v>168</v>
      </c>
      <c r="D82" s="20" t="s">
        <v>169</v>
      </c>
      <c r="E82" s="20"/>
      <c r="F82" s="11">
        <f>F83+F84+F85</f>
        <v>0</v>
      </c>
      <c r="G82" s="11">
        <f t="shared" ref="G82:H82" si="13">G83+G84+G85</f>
        <v>0</v>
      </c>
      <c r="H82" s="11">
        <f t="shared" si="13"/>
        <v>0</v>
      </c>
      <c r="I82" s="17" t="s">
        <v>28</v>
      </c>
    </row>
    <row r="83" spans="1:9" ht="21" customHeight="1" x14ac:dyDescent="0.15">
      <c r="A83" s="47" t="s">
        <v>170</v>
      </c>
      <c r="B83" s="47"/>
      <c r="C83" s="20" t="s">
        <v>171</v>
      </c>
      <c r="D83" s="20"/>
      <c r="E83" s="20"/>
      <c r="F83" s="9">
        <v>0</v>
      </c>
      <c r="G83" s="9">
        <v>0</v>
      </c>
      <c r="H83" s="9">
        <v>0</v>
      </c>
      <c r="I83" s="17" t="s">
        <v>28</v>
      </c>
    </row>
    <row r="84" spans="1:9" ht="10.5" customHeight="1" x14ac:dyDescent="0.15">
      <c r="A84" s="47" t="s">
        <v>172</v>
      </c>
      <c r="B84" s="47"/>
      <c r="C84" s="20" t="s">
        <v>173</v>
      </c>
      <c r="D84" s="20"/>
      <c r="E84" s="20"/>
      <c r="F84" s="9">
        <v>0</v>
      </c>
      <c r="G84" s="9">
        <v>0</v>
      </c>
      <c r="H84" s="9">
        <v>0</v>
      </c>
      <c r="I84" s="17" t="s">
        <v>28</v>
      </c>
    </row>
    <row r="85" spans="1:9" ht="21" customHeight="1" x14ac:dyDescent="0.15">
      <c r="A85" s="47" t="s">
        <v>174</v>
      </c>
      <c r="B85" s="47"/>
      <c r="C85" s="20" t="s">
        <v>175</v>
      </c>
      <c r="D85" s="20"/>
      <c r="E85" s="20"/>
      <c r="F85" s="9">
        <v>0</v>
      </c>
      <c r="G85" s="9">
        <v>0</v>
      </c>
      <c r="H85" s="9">
        <v>0</v>
      </c>
      <c r="I85" s="17" t="s">
        <v>28</v>
      </c>
    </row>
    <row r="86" spans="1:9" ht="10.5" customHeight="1" x14ac:dyDescent="0.15">
      <c r="A86" s="47" t="s">
        <v>176</v>
      </c>
      <c r="B86" s="47"/>
      <c r="C86" s="20" t="s">
        <v>177</v>
      </c>
      <c r="D86" s="20" t="s">
        <v>27</v>
      </c>
      <c r="E86" s="20"/>
      <c r="F86" s="11">
        <f>F87+F88+F89+F90</f>
        <v>0</v>
      </c>
      <c r="G86" s="11">
        <f t="shared" ref="G86:H86" si="14">G87+G88+G89+G90</f>
        <v>0</v>
      </c>
      <c r="H86" s="11">
        <f t="shared" si="14"/>
        <v>0</v>
      </c>
      <c r="I86" s="17" t="s">
        <v>28</v>
      </c>
    </row>
    <row r="87" spans="1:9" ht="10.5" customHeight="1" x14ac:dyDescent="0.15">
      <c r="A87" s="47" t="s">
        <v>178</v>
      </c>
      <c r="B87" s="47"/>
      <c r="C87" s="20" t="s">
        <v>179</v>
      </c>
      <c r="D87" s="20" t="s">
        <v>180</v>
      </c>
      <c r="E87" s="20"/>
      <c r="F87" s="9">
        <v>0</v>
      </c>
      <c r="G87" s="9">
        <v>0</v>
      </c>
      <c r="H87" s="9">
        <v>0</v>
      </c>
      <c r="I87" s="17" t="s">
        <v>28</v>
      </c>
    </row>
    <row r="88" spans="1:9" ht="10.5" customHeight="1" x14ac:dyDescent="0.15">
      <c r="A88" s="47" t="s">
        <v>63</v>
      </c>
      <c r="B88" s="47"/>
      <c r="C88" s="20" t="s">
        <v>181</v>
      </c>
      <c r="D88" s="20" t="s">
        <v>180</v>
      </c>
      <c r="E88" s="20"/>
      <c r="F88" s="9">
        <v>0</v>
      </c>
      <c r="G88" s="9">
        <v>0</v>
      </c>
      <c r="H88" s="9">
        <v>0</v>
      </c>
      <c r="I88" s="17" t="s">
        <v>28</v>
      </c>
    </row>
    <row r="89" spans="1:9" ht="21" customHeight="1" x14ac:dyDescent="0.15">
      <c r="A89" s="47" t="s">
        <v>65</v>
      </c>
      <c r="B89" s="47"/>
      <c r="C89" s="20" t="s">
        <v>182</v>
      </c>
      <c r="D89" s="20" t="s">
        <v>180</v>
      </c>
      <c r="E89" s="20"/>
      <c r="F89" s="9">
        <v>0</v>
      </c>
      <c r="G89" s="9">
        <v>0</v>
      </c>
      <c r="H89" s="9">
        <v>0</v>
      </c>
      <c r="I89" s="17" t="s">
        <v>28</v>
      </c>
    </row>
    <row r="90" spans="1:9" ht="31.5" customHeight="1" x14ac:dyDescent="0.15">
      <c r="A90" s="47" t="s">
        <v>183</v>
      </c>
      <c r="B90" s="47"/>
      <c r="C90" s="20" t="s">
        <v>184</v>
      </c>
      <c r="D90" s="20" t="s">
        <v>180</v>
      </c>
      <c r="E90" s="20"/>
      <c r="F90" s="9">
        <v>0</v>
      </c>
      <c r="G90" s="9">
        <v>0</v>
      </c>
      <c r="H90" s="9">
        <v>0</v>
      </c>
      <c r="I90" s="17" t="s">
        <v>28</v>
      </c>
    </row>
    <row r="93" spans="1:9" x14ac:dyDescent="0.15">
      <c r="B93" s="35" t="s">
        <v>185</v>
      </c>
      <c r="C93" s="35"/>
      <c r="D93" s="35"/>
      <c r="E93" s="35"/>
      <c r="F93" s="35"/>
      <c r="G93" s="35"/>
      <c r="H93" s="35"/>
      <c r="I93" s="35"/>
    </row>
    <row r="95" spans="1:9" x14ac:dyDescent="0.15">
      <c r="A95" s="50" t="s">
        <v>186</v>
      </c>
      <c r="B95" s="50" t="s">
        <v>20</v>
      </c>
      <c r="C95" s="50" t="s">
        <v>21</v>
      </c>
      <c r="D95" s="50" t="s">
        <v>187</v>
      </c>
      <c r="E95" s="50" t="s">
        <v>22</v>
      </c>
      <c r="F95" s="50" t="s">
        <v>24</v>
      </c>
      <c r="G95" s="50"/>
      <c r="H95" s="50"/>
    </row>
    <row r="96" spans="1:9" ht="21" x14ac:dyDescent="0.15">
      <c r="A96" s="50"/>
      <c r="B96" s="50"/>
      <c r="C96" s="50"/>
      <c r="D96" s="50"/>
      <c r="E96" s="50"/>
      <c r="F96" s="24" t="s">
        <v>273</v>
      </c>
      <c r="G96" s="24" t="s">
        <v>274</v>
      </c>
      <c r="H96" s="24" t="s">
        <v>281</v>
      </c>
    </row>
    <row r="97" spans="1:8" x14ac:dyDescent="0.15">
      <c r="A97" s="17">
        <v>1</v>
      </c>
      <c r="B97" s="17">
        <v>2</v>
      </c>
      <c r="C97" s="17">
        <v>3</v>
      </c>
      <c r="D97" s="17">
        <v>4</v>
      </c>
      <c r="E97" s="17">
        <v>5</v>
      </c>
      <c r="F97" s="17">
        <v>6</v>
      </c>
      <c r="G97" s="17">
        <v>7</v>
      </c>
      <c r="H97" s="17">
        <v>8</v>
      </c>
    </row>
    <row r="98" spans="1:8" x14ac:dyDescent="0.15">
      <c r="A98" s="17" t="s">
        <v>28</v>
      </c>
      <c r="B98" s="1" t="s">
        <v>188</v>
      </c>
      <c r="C98" s="17" t="s">
        <v>189</v>
      </c>
      <c r="D98" s="17" t="s">
        <v>133</v>
      </c>
      <c r="E98" s="17"/>
      <c r="F98" s="5">
        <f>F99+F100+F101+F104</f>
        <v>2855964</v>
      </c>
      <c r="G98" s="5">
        <f>G99+G100+G101+G104</f>
        <v>2763849</v>
      </c>
      <c r="H98" s="5">
        <f>H99+H100+H101+H104</f>
        <v>2860630</v>
      </c>
    </row>
    <row r="99" spans="1:8" ht="31.5" x14ac:dyDescent="0.15">
      <c r="A99" s="17" t="s">
        <v>190</v>
      </c>
      <c r="B99" s="1" t="s">
        <v>191</v>
      </c>
      <c r="C99" s="17" t="s">
        <v>192</v>
      </c>
      <c r="D99" s="17" t="s">
        <v>133</v>
      </c>
      <c r="E99" s="17"/>
      <c r="F99" s="2"/>
      <c r="G99" s="2"/>
      <c r="H99" s="2"/>
    </row>
    <row r="100" spans="1:8" ht="42" x14ac:dyDescent="0.15">
      <c r="A100" s="17" t="s">
        <v>193</v>
      </c>
      <c r="B100" s="1" t="s">
        <v>194</v>
      </c>
      <c r="C100" s="17" t="s">
        <v>195</v>
      </c>
      <c r="D100" s="17" t="s">
        <v>133</v>
      </c>
      <c r="E100" s="17"/>
      <c r="F100" s="2"/>
      <c r="G100" s="2"/>
      <c r="H100" s="2"/>
    </row>
    <row r="101" spans="1:8" ht="31.5" x14ac:dyDescent="0.15">
      <c r="A101" s="17" t="s">
        <v>196</v>
      </c>
      <c r="B101" s="1" t="s">
        <v>197</v>
      </c>
      <c r="C101" s="17" t="s">
        <v>198</v>
      </c>
      <c r="D101" s="17" t="s">
        <v>133</v>
      </c>
      <c r="E101" s="17"/>
      <c r="F101" s="5">
        <f>F102+F103</f>
        <v>0</v>
      </c>
      <c r="G101" s="5">
        <f t="shared" ref="G101:H101" si="15">G102+G103</f>
        <v>0</v>
      </c>
      <c r="H101" s="5">
        <f t="shared" si="15"/>
        <v>0</v>
      </c>
    </row>
    <row r="102" spans="1:8" x14ac:dyDescent="0.15">
      <c r="A102" s="17" t="s">
        <v>199</v>
      </c>
      <c r="B102" s="1" t="s">
        <v>200</v>
      </c>
      <c r="C102" s="17" t="s">
        <v>201</v>
      </c>
      <c r="D102" s="17" t="s">
        <v>133</v>
      </c>
      <c r="E102" s="17"/>
      <c r="F102" s="2"/>
      <c r="G102" s="2"/>
      <c r="H102" s="2"/>
    </row>
    <row r="103" spans="1:8" x14ac:dyDescent="0.15">
      <c r="A103" s="17" t="s">
        <v>202</v>
      </c>
      <c r="B103" s="1" t="s">
        <v>203</v>
      </c>
      <c r="C103" s="17" t="s">
        <v>204</v>
      </c>
      <c r="D103" s="17" t="s">
        <v>133</v>
      </c>
      <c r="E103" s="17"/>
      <c r="F103" s="2"/>
      <c r="G103" s="2"/>
      <c r="H103" s="2"/>
    </row>
    <row r="104" spans="1:8" ht="42" x14ac:dyDescent="0.15">
      <c r="A104" s="17" t="s">
        <v>205</v>
      </c>
      <c r="B104" s="1" t="s">
        <v>206</v>
      </c>
      <c r="C104" s="17" t="s">
        <v>207</v>
      </c>
      <c r="D104" s="17" t="s">
        <v>133</v>
      </c>
      <c r="E104" s="17"/>
      <c r="F104" s="5">
        <f>F105+F108+F111+F112+F115</f>
        <v>2855964</v>
      </c>
      <c r="G104" s="5">
        <f t="shared" ref="G104:H104" si="16">G105+G108+G111+G112+G115</f>
        <v>2763849</v>
      </c>
      <c r="H104" s="5">
        <f t="shared" si="16"/>
        <v>2860630</v>
      </c>
    </row>
    <row r="105" spans="1:8" ht="31.5" x14ac:dyDescent="0.15">
      <c r="A105" s="17" t="s">
        <v>208</v>
      </c>
      <c r="B105" s="1" t="s">
        <v>209</v>
      </c>
      <c r="C105" s="17" t="s">
        <v>210</v>
      </c>
      <c r="D105" s="17" t="s">
        <v>133</v>
      </c>
      <c r="E105" s="17"/>
      <c r="F105" s="5">
        <f>F106+F107</f>
        <v>2855964</v>
      </c>
      <c r="G105" s="5">
        <f t="shared" ref="G105:H105" si="17">G106+G107</f>
        <v>2763849</v>
      </c>
      <c r="H105" s="5">
        <f t="shared" si="17"/>
        <v>2860630</v>
      </c>
    </row>
    <row r="106" spans="1:8" x14ac:dyDescent="0.15">
      <c r="A106" s="17" t="s">
        <v>211</v>
      </c>
      <c r="B106" s="1" t="s">
        <v>200</v>
      </c>
      <c r="C106" s="17" t="s">
        <v>212</v>
      </c>
      <c r="D106" s="17" t="s">
        <v>133</v>
      </c>
      <c r="E106" s="17"/>
      <c r="F106" s="9">
        <f>F73</f>
        <v>2855964</v>
      </c>
      <c r="G106" s="9">
        <f>G73</f>
        <v>2763849</v>
      </c>
      <c r="H106" s="9">
        <f>H73</f>
        <v>2860630</v>
      </c>
    </row>
    <row r="107" spans="1:8" x14ac:dyDescent="0.15">
      <c r="A107" s="17" t="s">
        <v>213</v>
      </c>
      <c r="B107" s="1" t="s">
        <v>203</v>
      </c>
      <c r="C107" s="17" t="s">
        <v>214</v>
      </c>
      <c r="D107" s="17" t="s">
        <v>133</v>
      </c>
      <c r="E107" s="17"/>
      <c r="F107" s="2"/>
      <c r="G107" s="2"/>
      <c r="H107" s="2"/>
    </row>
    <row r="108" spans="1:8" ht="31.5" x14ac:dyDescent="0.15">
      <c r="A108" s="17" t="s">
        <v>215</v>
      </c>
      <c r="B108" s="1" t="s">
        <v>216</v>
      </c>
      <c r="C108" s="17" t="s">
        <v>217</v>
      </c>
      <c r="D108" s="17" t="s">
        <v>133</v>
      </c>
      <c r="E108" s="17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17" t="s">
        <v>218</v>
      </c>
      <c r="B109" s="1" t="s">
        <v>200</v>
      </c>
      <c r="C109" s="17" t="s">
        <v>219</v>
      </c>
      <c r="D109" s="17" t="s">
        <v>133</v>
      </c>
      <c r="E109" s="17"/>
      <c r="F109" s="2"/>
      <c r="G109" s="2"/>
      <c r="H109" s="2"/>
    </row>
    <row r="110" spans="1:8" x14ac:dyDescent="0.15">
      <c r="A110" s="17" t="s">
        <v>220</v>
      </c>
      <c r="B110" s="1" t="s">
        <v>203</v>
      </c>
      <c r="C110" s="17" t="s">
        <v>221</v>
      </c>
      <c r="D110" s="17" t="s">
        <v>133</v>
      </c>
      <c r="E110" s="17"/>
      <c r="F110" s="2"/>
      <c r="G110" s="2"/>
      <c r="H110" s="2"/>
    </row>
    <row r="111" spans="1:8" ht="21" x14ac:dyDescent="0.15">
      <c r="A111" s="17" t="s">
        <v>222</v>
      </c>
      <c r="B111" s="1" t="s">
        <v>223</v>
      </c>
      <c r="C111" s="17" t="s">
        <v>224</v>
      </c>
      <c r="D111" s="17" t="s">
        <v>133</v>
      </c>
      <c r="E111" s="17"/>
      <c r="F111" s="2"/>
      <c r="G111" s="2"/>
      <c r="H111" s="2"/>
    </row>
    <row r="112" spans="1:8" x14ac:dyDescent="0.15">
      <c r="A112" s="17" t="s">
        <v>225</v>
      </c>
      <c r="B112" s="1" t="s">
        <v>226</v>
      </c>
      <c r="C112" s="17" t="s">
        <v>227</v>
      </c>
      <c r="D112" s="17" t="s">
        <v>133</v>
      </c>
      <c r="E112" s="17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17" t="s">
        <v>228</v>
      </c>
      <c r="B113" s="1" t="s">
        <v>200</v>
      </c>
      <c r="C113" s="17" t="s">
        <v>229</v>
      </c>
      <c r="D113" s="17" t="s">
        <v>133</v>
      </c>
      <c r="E113" s="17"/>
      <c r="F113" s="2"/>
      <c r="G113" s="2"/>
      <c r="H113" s="2"/>
    </row>
    <row r="114" spans="1:8" x14ac:dyDescent="0.15">
      <c r="A114" s="17" t="s">
        <v>230</v>
      </c>
      <c r="B114" s="1" t="s">
        <v>203</v>
      </c>
      <c r="C114" s="17" t="s">
        <v>231</v>
      </c>
      <c r="D114" s="17" t="s">
        <v>133</v>
      </c>
      <c r="E114" s="17"/>
      <c r="F114" s="2"/>
      <c r="G114" s="2"/>
      <c r="H114" s="2"/>
    </row>
    <row r="115" spans="1:8" x14ac:dyDescent="0.15">
      <c r="A115" s="17" t="s">
        <v>232</v>
      </c>
      <c r="B115" s="1" t="s">
        <v>233</v>
      </c>
      <c r="C115" s="17" t="s">
        <v>234</v>
      </c>
      <c r="D115" s="17" t="s">
        <v>133</v>
      </c>
      <c r="E115" s="17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17" t="s">
        <v>235</v>
      </c>
      <c r="B116" s="1" t="s">
        <v>200</v>
      </c>
      <c r="C116" s="17" t="s">
        <v>236</v>
      </c>
      <c r="D116" s="17" t="s">
        <v>133</v>
      </c>
      <c r="E116" s="17"/>
      <c r="F116" s="2"/>
      <c r="G116" s="2"/>
      <c r="H116" s="2"/>
    </row>
    <row r="117" spans="1:8" x14ac:dyDescent="0.15">
      <c r="A117" s="17" t="s">
        <v>237</v>
      </c>
      <c r="B117" s="1" t="s">
        <v>203</v>
      </c>
      <c r="C117" s="17" t="s">
        <v>238</v>
      </c>
      <c r="D117" s="17" t="s">
        <v>133</v>
      </c>
      <c r="E117" s="17"/>
      <c r="F117" s="2"/>
      <c r="G117" s="2"/>
      <c r="H117" s="2"/>
    </row>
    <row r="118" spans="1:8" ht="42" x14ac:dyDescent="0.15">
      <c r="A118" s="17" t="s">
        <v>239</v>
      </c>
      <c r="B118" s="1" t="s">
        <v>240</v>
      </c>
      <c r="C118" s="17" t="s">
        <v>241</v>
      </c>
      <c r="D118" s="17" t="s">
        <v>133</v>
      </c>
      <c r="E118" s="17"/>
      <c r="F118" s="5">
        <f>F119+F120+F121</f>
        <v>2855964</v>
      </c>
      <c r="G118" s="5">
        <f t="shared" ref="G118:H118" si="21">G119+G120+G121</f>
        <v>2763849</v>
      </c>
      <c r="H118" s="5">
        <f t="shared" si="21"/>
        <v>2860630</v>
      </c>
    </row>
    <row r="119" spans="1:8" x14ac:dyDescent="0.15">
      <c r="A119" s="17" t="s">
        <v>242</v>
      </c>
      <c r="B119" s="1" t="s">
        <v>243</v>
      </c>
      <c r="C119" s="17" t="s">
        <v>244</v>
      </c>
      <c r="D119" s="20">
        <v>2024</v>
      </c>
      <c r="E119" s="17"/>
      <c r="F119" s="3">
        <f>F104</f>
        <v>2855964</v>
      </c>
      <c r="G119" s="3">
        <f t="shared" ref="G119:H119" si="22">G104</f>
        <v>2763849</v>
      </c>
      <c r="H119" s="3">
        <f t="shared" si="22"/>
        <v>2860630</v>
      </c>
    </row>
    <row r="120" spans="1:8" x14ac:dyDescent="0.15">
      <c r="A120" s="17" t="s">
        <v>245</v>
      </c>
      <c r="B120" s="1" t="s">
        <v>243</v>
      </c>
      <c r="C120" s="17" t="s">
        <v>246</v>
      </c>
      <c r="D120" s="20">
        <v>2025</v>
      </c>
      <c r="E120" s="17"/>
      <c r="F120" s="2"/>
      <c r="G120" s="2"/>
      <c r="H120" s="2"/>
    </row>
    <row r="121" spans="1:8" x14ac:dyDescent="0.15">
      <c r="A121" s="17" t="s">
        <v>247</v>
      </c>
      <c r="B121" s="1" t="s">
        <v>243</v>
      </c>
      <c r="C121" s="17" t="s">
        <v>248</v>
      </c>
      <c r="D121" s="20">
        <v>2026</v>
      </c>
      <c r="E121" s="17"/>
      <c r="F121" s="2"/>
      <c r="G121" s="2"/>
      <c r="H121" s="2"/>
    </row>
    <row r="122" spans="1:8" ht="42" x14ac:dyDescent="0.15">
      <c r="A122" s="17" t="s">
        <v>249</v>
      </c>
      <c r="B122" s="1" t="s">
        <v>250</v>
      </c>
      <c r="C122" s="17" t="s">
        <v>251</v>
      </c>
      <c r="D122" s="20" t="s">
        <v>133</v>
      </c>
      <c r="E122" s="17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17" t="s">
        <v>252</v>
      </c>
      <c r="B123" s="1" t="s">
        <v>243</v>
      </c>
      <c r="C123" s="17" t="s">
        <v>253</v>
      </c>
      <c r="D123" s="20">
        <v>2024</v>
      </c>
      <c r="E123" s="17"/>
      <c r="F123" s="2"/>
      <c r="G123" s="2"/>
      <c r="H123" s="2"/>
    </row>
    <row r="124" spans="1:8" x14ac:dyDescent="0.15">
      <c r="A124" s="17" t="s">
        <v>254</v>
      </c>
      <c r="B124" s="1" t="s">
        <v>243</v>
      </c>
      <c r="C124" s="17" t="s">
        <v>255</v>
      </c>
      <c r="D124" s="20">
        <v>2025</v>
      </c>
      <c r="E124" s="17"/>
      <c r="F124" s="2"/>
      <c r="G124" s="2"/>
      <c r="H124" s="2"/>
    </row>
    <row r="125" spans="1:8" x14ac:dyDescent="0.15">
      <c r="A125" s="17" t="s">
        <v>256</v>
      </c>
      <c r="B125" s="1" t="s">
        <v>243</v>
      </c>
      <c r="C125" s="17" t="s">
        <v>257</v>
      </c>
      <c r="D125" s="20">
        <v>2026</v>
      </c>
      <c r="E125" s="17"/>
      <c r="F125" s="2"/>
      <c r="G125" s="2"/>
      <c r="H125" s="2"/>
    </row>
    <row r="127" spans="1:8" x14ac:dyDescent="0.15">
      <c r="A127" s="52" t="s">
        <v>258</v>
      </c>
      <c r="B127" s="52"/>
      <c r="C127" s="53" t="s">
        <v>269</v>
      </c>
      <c r="D127" s="54"/>
      <c r="E127" s="16"/>
      <c r="F127" s="53" t="s">
        <v>270</v>
      </c>
      <c r="G127" s="54"/>
    </row>
    <row r="128" spans="1:8" x14ac:dyDescent="0.15">
      <c r="C128" s="51" t="s">
        <v>259</v>
      </c>
      <c r="D128" s="51"/>
      <c r="E128" s="14" t="s">
        <v>2</v>
      </c>
      <c r="F128" s="51" t="s">
        <v>3</v>
      </c>
      <c r="G128" s="51"/>
    </row>
    <row r="130" spans="1:7" x14ac:dyDescent="0.15">
      <c r="A130" s="52" t="s">
        <v>260</v>
      </c>
      <c r="B130" s="52"/>
      <c r="C130" s="53" t="s">
        <v>265</v>
      </c>
      <c r="D130" s="54"/>
      <c r="E130" s="15" t="s">
        <v>268</v>
      </c>
      <c r="F130" s="53" t="s">
        <v>266</v>
      </c>
      <c r="G130" s="54"/>
    </row>
    <row r="131" spans="1:7" ht="21" x14ac:dyDescent="0.15">
      <c r="C131" s="51" t="s">
        <v>259</v>
      </c>
      <c r="D131" s="51"/>
      <c r="E131" s="14" t="s">
        <v>261</v>
      </c>
      <c r="F131" s="51" t="s">
        <v>262</v>
      </c>
      <c r="G131" s="51"/>
    </row>
    <row r="132" spans="1:7" ht="10.5" customHeight="1" x14ac:dyDescent="0.15">
      <c r="A132" s="38" t="s">
        <v>276</v>
      </c>
      <c r="B132" s="38"/>
    </row>
  </sheetData>
  <mergeCells count="102"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24A-9E06-4ECB-9E4A-1BCF7D0B1979}">
  <sheetPr>
    <pageSetUpPr fitToPage="1"/>
  </sheetPr>
  <dimension ref="A1:I132"/>
  <sheetViews>
    <sheetView tabSelected="1" topLeftCell="A29" workbookViewId="0">
      <selection activeCell="H35" sqref="H35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35" t="s">
        <v>0</v>
      </c>
      <c r="H2" s="35"/>
      <c r="I2" s="35"/>
    </row>
    <row r="3" spans="2:9" ht="21" customHeight="1" x14ac:dyDescent="0.15">
      <c r="G3" s="36" t="s">
        <v>272</v>
      </c>
      <c r="H3" s="36"/>
      <c r="I3" s="36"/>
    </row>
    <row r="4" spans="2:9" ht="15" customHeight="1" x14ac:dyDescent="0.15">
      <c r="G4" s="37" t="s">
        <v>1</v>
      </c>
      <c r="H4" s="37"/>
      <c r="I4" s="37"/>
    </row>
    <row r="5" spans="2:9" ht="18" customHeight="1" x14ac:dyDescent="0.15">
      <c r="G5" s="31"/>
      <c r="H5" s="36" t="s">
        <v>271</v>
      </c>
      <c r="I5" s="36"/>
    </row>
    <row r="6" spans="2:9" ht="15" customHeight="1" x14ac:dyDescent="0.15">
      <c r="G6" s="32" t="s">
        <v>2</v>
      </c>
      <c r="H6" s="37" t="s">
        <v>3</v>
      </c>
      <c r="I6" s="37"/>
    </row>
    <row r="7" spans="2:9" ht="30" customHeight="1" x14ac:dyDescent="0.15">
      <c r="G7" s="38" t="s">
        <v>282</v>
      </c>
      <c r="H7" s="38"/>
      <c r="I7" s="38"/>
    </row>
    <row r="8" spans="2:9" ht="20.100000000000001" customHeight="1" x14ac:dyDescent="0.15">
      <c r="G8" s="38" t="s">
        <v>4</v>
      </c>
      <c r="H8" s="38"/>
      <c r="I8" s="38"/>
    </row>
    <row r="9" spans="2:9" ht="9.75" customHeight="1" x14ac:dyDescent="0.15"/>
    <row r="10" spans="2:9" ht="20.25" customHeight="1" x14ac:dyDescent="0.15">
      <c r="B10" s="42" t="s">
        <v>5</v>
      </c>
      <c r="C10" s="42"/>
      <c r="D10" s="42"/>
      <c r="E10" s="42"/>
      <c r="F10" s="42"/>
      <c r="G10" s="42"/>
      <c r="H10" s="6"/>
      <c r="I10" s="6"/>
    </row>
    <row r="11" spans="2:9" ht="30" customHeight="1" x14ac:dyDescent="0.15">
      <c r="B11" s="42" t="s">
        <v>278</v>
      </c>
      <c r="C11" s="42"/>
      <c r="D11" s="42"/>
      <c r="E11" s="42"/>
      <c r="F11" s="42"/>
      <c r="G11" s="42"/>
      <c r="H11" s="6"/>
      <c r="I11" s="6"/>
    </row>
    <row r="12" spans="2:9" ht="18.75" customHeight="1" x14ac:dyDescent="0.15">
      <c r="E12" s="7"/>
      <c r="F12" s="7"/>
      <c r="G12" s="8"/>
      <c r="H12" s="34" t="s">
        <v>6</v>
      </c>
      <c r="I12" s="34" t="s">
        <v>6</v>
      </c>
    </row>
    <row r="13" spans="2:9" ht="18.75" customHeight="1" x14ac:dyDescent="0.15">
      <c r="C13" s="8" t="s">
        <v>7</v>
      </c>
      <c r="D13" s="43" t="s">
        <v>283</v>
      </c>
      <c r="E13" s="43"/>
      <c r="F13" s="43"/>
      <c r="G13" s="8" t="s">
        <v>8</v>
      </c>
      <c r="H13" s="34" t="s">
        <v>284</v>
      </c>
      <c r="I13" s="34"/>
    </row>
    <row r="14" spans="2:9" ht="18.75" customHeight="1" x14ac:dyDescent="0.15">
      <c r="G14" s="8" t="s">
        <v>9</v>
      </c>
      <c r="H14" s="34">
        <v>52302592</v>
      </c>
      <c r="I14" s="34"/>
    </row>
    <row r="15" spans="2:9" ht="26.25" customHeight="1" x14ac:dyDescent="0.15">
      <c r="B15" s="7" t="s">
        <v>10</v>
      </c>
      <c r="C15" s="39" t="s">
        <v>264</v>
      </c>
      <c r="D15" s="39"/>
      <c r="E15" s="39"/>
      <c r="F15" s="39"/>
      <c r="G15" s="8" t="s">
        <v>11</v>
      </c>
      <c r="H15" s="34">
        <v>504</v>
      </c>
      <c r="I15" s="34"/>
    </row>
    <row r="16" spans="2:9" ht="18.75" customHeight="1" x14ac:dyDescent="0.15">
      <c r="G16" s="8" t="s">
        <v>9</v>
      </c>
      <c r="H16" s="34">
        <v>52320518</v>
      </c>
      <c r="I16" s="34"/>
    </row>
    <row r="17" spans="1:9" ht="18.75" customHeight="1" x14ac:dyDescent="0.15">
      <c r="G17" s="8" t="s">
        <v>12</v>
      </c>
      <c r="H17" s="34">
        <v>5512004494</v>
      </c>
      <c r="I17" s="34"/>
    </row>
    <row r="18" spans="1:9" ht="30.75" customHeight="1" x14ac:dyDescent="0.15">
      <c r="B18" s="7" t="s">
        <v>13</v>
      </c>
      <c r="C18" s="39" t="s">
        <v>275</v>
      </c>
      <c r="D18" s="39"/>
      <c r="E18" s="39"/>
      <c r="F18" s="39"/>
      <c r="G18" s="8" t="s">
        <v>14</v>
      </c>
      <c r="H18" s="34">
        <v>551201001</v>
      </c>
      <c r="I18" s="34" t="s">
        <v>18</v>
      </c>
    </row>
    <row r="19" spans="1:9" ht="18.75" customHeight="1" x14ac:dyDescent="0.15">
      <c r="B19" s="7" t="s">
        <v>15</v>
      </c>
      <c r="C19" s="7" t="s">
        <v>16</v>
      </c>
      <c r="D19" s="7"/>
      <c r="E19" s="7"/>
      <c r="F19" s="7"/>
      <c r="G19" s="8" t="s">
        <v>17</v>
      </c>
      <c r="H19" s="34" t="s">
        <v>18</v>
      </c>
    </row>
    <row r="20" spans="1:9" ht="16.5" customHeight="1" x14ac:dyDescent="0.15">
      <c r="B20" s="33"/>
      <c r="C20" s="33"/>
      <c r="D20" s="33"/>
      <c r="E20" s="33"/>
      <c r="F20" s="33"/>
      <c r="G20" s="33"/>
      <c r="H20" s="33"/>
      <c r="I20" s="33"/>
    </row>
    <row r="21" spans="1:9" ht="30.75" customHeight="1" x14ac:dyDescent="0.15">
      <c r="B21" s="39" t="s">
        <v>19</v>
      </c>
      <c r="C21" s="39"/>
      <c r="D21" s="39"/>
      <c r="E21" s="39"/>
      <c r="F21" s="39"/>
      <c r="G21" s="39"/>
      <c r="H21" s="39"/>
    </row>
    <row r="22" spans="1:9" ht="18" customHeight="1" x14ac:dyDescent="0.15"/>
    <row r="23" spans="1:9" ht="19.5" customHeight="1" x14ac:dyDescent="0.15">
      <c r="A23" s="40" t="s">
        <v>20</v>
      </c>
      <c r="B23" s="40"/>
      <c r="C23" s="41" t="s">
        <v>21</v>
      </c>
      <c r="D23" s="41" t="s">
        <v>22</v>
      </c>
      <c r="E23" s="41" t="s">
        <v>23</v>
      </c>
      <c r="F23" s="41" t="s">
        <v>24</v>
      </c>
      <c r="G23" s="41"/>
      <c r="H23" s="41"/>
    </row>
    <row r="24" spans="1:9" ht="27" customHeight="1" x14ac:dyDescent="0.15">
      <c r="A24" s="40"/>
      <c r="B24" s="40"/>
      <c r="C24" s="41"/>
      <c r="D24" s="41"/>
      <c r="E24" s="41"/>
      <c r="F24" s="34" t="s">
        <v>273</v>
      </c>
      <c r="G24" s="34" t="s">
        <v>274</v>
      </c>
      <c r="H24" s="34" t="s">
        <v>281</v>
      </c>
    </row>
    <row r="25" spans="1:9" ht="16.5" customHeight="1" x14ac:dyDescent="0.15">
      <c r="A25" s="46">
        <v>1</v>
      </c>
      <c r="B25" s="46"/>
      <c r="C25" s="30">
        <v>2</v>
      </c>
      <c r="D25" s="30">
        <v>3</v>
      </c>
      <c r="E25" s="30">
        <v>4</v>
      </c>
      <c r="F25" s="30">
        <v>5</v>
      </c>
      <c r="G25" s="30">
        <v>6</v>
      </c>
      <c r="H25" s="30">
        <v>7</v>
      </c>
    </row>
    <row r="26" spans="1:9" ht="16.5" customHeight="1" x14ac:dyDescent="0.15">
      <c r="A26" s="44" t="s">
        <v>25</v>
      </c>
      <c r="B26" s="44"/>
      <c r="C26" s="34" t="s">
        <v>26</v>
      </c>
      <c r="D26" s="34" t="s">
        <v>27</v>
      </c>
      <c r="E26" s="34" t="s">
        <v>27</v>
      </c>
      <c r="F26" s="11">
        <v>0</v>
      </c>
      <c r="G26" s="11">
        <v>0</v>
      </c>
      <c r="H26" s="11">
        <v>0</v>
      </c>
      <c r="I26" s="29" t="s">
        <v>28</v>
      </c>
    </row>
    <row r="27" spans="1:9" ht="16.5" customHeight="1" x14ac:dyDescent="0.15">
      <c r="A27" s="44" t="s">
        <v>29</v>
      </c>
      <c r="B27" s="44"/>
      <c r="C27" s="34" t="s">
        <v>30</v>
      </c>
      <c r="D27" s="34" t="s">
        <v>27</v>
      </c>
      <c r="E27" s="34" t="s">
        <v>27</v>
      </c>
      <c r="F27" s="11">
        <f>F26+F28-F46</f>
        <v>0</v>
      </c>
      <c r="G27" s="11">
        <f t="shared" ref="G27:H27" si="0">G26+G28-G46</f>
        <v>0</v>
      </c>
      <c r="H27" s="11">
        <f t="shared" si="0"/>
        <v>0</v>
      </c>
      <c r="I27" s="29" t="s">
        <v>28</v>
      </c>
    </row>
    <row r="28" spans="1:9" ht="16.5" customHeight="1" x14ac:dyDescent="0.15">
      <c r="A28" s="44" t="s">
        <v>31</v>
      </c>
      <c r="B28" s="44"/>
      <c r="C28" s="34" t="s">
        <v>32</v>
      </c>
      <c r="D28" s="34"/>
      <c r="E28" s="34"/>
      <c r="F28" s="11">
        <f>F29+F30+F34+F35+F39+F40+F41</f>
        <v>7417582</v>
      </c>
      <c r="G28" s="11">
        <f t="shared" ref="G28:H28" si="1">G29+G30+G34+G35+G39+G40+G41</f>
        <v>7316989</v>
      </c>
      <c r="H28" s="11">
        <f t="shared" si="1"/>
        <v>7413770</v>
      </c>
      <c r="I28" s="29" t="s">
        <v>28</v>
      </c>
    </row>
    <row r="29" spans="1:9" ht="21.75" customHeight="1" x14ac:dyDescent="0.15">
      <c r="A29" s="44" t="s">
        <v>33</v>
      </c>
      <c r="B29" s="44"/>
      <c r="C29" s="12" t="s">
        <v>34</v>
      </c>
      <c r="D29" s="34" t="s">
        <v>35</v>
      </c>
      <c r="E29" s="34"/>
      <c r="F29" s="9">
        <v>0</v>
      </c>
      <c r="G29" s="3"/>
      <c r="H29" s="3"/>
      <c r="I29" s="29" t="s">
        <v>28</v>
      </c>
    </row>
    <row r="30" spans="1:9" ht="18.75" customHeight="1" x14ac:dyDescent="0.15">
      <c r="A30" s="44" t="s">
        <v>36</v>
      </c>
      <c r="B30" s="44"/>
      <c r="C30" s="12" t="s">
        <v>37</v>
      </c>
      <c r="D30" s="34" t="s">
        <v>38</v>
      </c>
      <c r="E30" s="34"/>
      <c r="F30" s="11">
        <f>F31+F32+F33</f>
        <v>7417582</v>
      </c>
      <c r="G30" s="4">
        <f t="shared" ref="G30:H30" si="2">G31+G32+G33</f>
        <v>7316989</v>
      </c>
      <c r="H30" s="4">
        <f t="shared" si="2"/>
        <v>7413770</v>
      </c>
      <c r="I30" s="29" t="s">
        <v>28</v>
      </c>
    </row>
    <row r="31" spans="1:9" ht="46.5" customHeight="1" x14ac:dyDescent="0.15">
      <c r="A31" s="44" t="s">
        <v>39</v>
      </c>
      <c r="B31" s="44"/>
      <c r="C31" s="34" t="s">
        <v>40</v>
      </c>
      <c r="D31" s="34" t="s">
        <v>38</v>
      </c>
      <c r="E31" s="34"/>
      <c r="F31" s="25">
        <v>7417582</v>
      </c>
      <c r="G31" s="3">
        <v>7316989</v>
      </c>
      <c r="H31" s="3">
        <v>7413770</v>
      </c>
      <c r="I31" s="29" t="s">
        <v>28</v>
      </c>
    </row>
    <row r="32" spans="1:9" ht="34.5" customHeight="1" x14ac:dyDescent="0.15">
      <c r="A32" s="44" t="s">
        <v>41</v>
      </c>
      <c r="B32" s="44"/>
      <c r="C32" s="34" t="s">
        <v>42</v>
      </c>
      <c r="D32" s="34" t="s">
        <v>38</v>
      </c>
      <c r="E32" s="34"/>
      <c r="F32" s="9">
        <v>0</v>
      </c>
      <c r="G32" s="3">
        <v>0</v>
      </c>
      <c r="H32" s="3">
        <v>0</v>
      </c>
      <c r="I32" s="29" t="s">
        <v>28</v>
      </c>
    </row>
    <row r="33" spans="1:9" ht="21.75" customHeight="1" x14ac:dyDescent="0.15">
      <c r="A33" s="45" t="s">
        <v>263</v>
      </c>
      <c r="B33" s="44"/>
      <c r="C33" s="34">
        <v>1230</v>
      </c>
      <c r="D33" s="34">
        <v>130</v>
      </c>
      <c r="E33" s="34"/>
      <c r="F33" s="13">
        <v>0</v>
      </c>
      <c r="G33" s="3">
        <v>0</v>
      </c>
      <c r="H33" s="3">
        <v>0</v>
      </c>
      <c r="I33" s="30"/>
    </row>
    <row r="34" spans="1:9" ht="19.5" customHeight="1" x14ac:dyDescent="0.15">
      <c r="A34" s="44" t="s">
        <v>43</v>
      </c>
      <c r="B34" s="44"/>
      <c r="C34" s="12" t="s">
        <v>44</v>
      </c>
      <c r="D34" s="34" t="s">
        <v>45</v>
      </c>
      <c r="E34" s="34"/>
      <c r="F34" s="11">
        <v>0</v>
      </c>
      <c r="G34" s="3">
        <v>0</v>
      </c>
      <c r="H34" s="3">
        <v>0</v>
      </c>
      <c r="I34" s="29" t="s">
        <v>28</v>
      </c>
    </row>
    <row r="35" spans="1:9" ht="19.5" customHeight="1" x14ac:dyDescent="0.15">
      <c r="A35" s="44" t="s">
        <v>46</v>
      </c>
      <c r="B35" s="44"/>
      <c r="C35" s="12" t="s">
        <v>47</v>
      </c>
      <c r="D35" s="34" t="s">
        <v>48</v>
      </c>
      <c r="E35" s="34"/>
      <c r="F35" s="11">
        <f t="shared" ref="F35:H35" si="3">F36+F37+F38</f>
        <v>0</v>
      </c>
      <c r="G35" s="4">
        <f t="shared" si="3"/>
        <v>0</v>
      </c>
      <c r="H35" s="4">
        <f t="shared" si="3"/>
        <v>0</v>
      </c>
      <c r="I35" s="29" t="s">
        <v>28</v>
      </c>
    </row>
    <row r="36" spans="1:9" ht="19.5" customHeight="1" x14ac:dyDescent="0.15">
      <c r="A36" s="44" t="s">
        <v>49</v>
      </c>
      <c r="B36" s="44"/>
      <c r="C36" s="34" t="s">
        <v>50</v>
      </c>
      <c r="D36" s="34" t="s">
        <v>48</v>
      </c>
      <c r="E36" s="34"/>
      <c r="F36" s="13">
        <v>0</v>
      </c>
      <c r="G36" s="3">
        <v>0</v>
      </c>
      <c r="H36" s="3">
        <v>0</v>
      </c>
      <c r="I36" s="29" t="s">
        <v>28</v>
      </c>
    </row>
    <row r="37" spans="1:9" ht="19.5" customHeight="1" x14ac:dyDescent="0.15">
      <c r="A37" s="44" t="s">
        <v>51</v>
      </c>
      <c r="B37" s="44"/>
      <c r="C37" s="34" t="s">
        <v>52</v>
      </c>
      <c r="D37" s="34" t="s">
        <v>48</v>
      </c>
      <c r="E37" s="34"/>
      <c r="F37" s="9">
        <v>0</v>
      </c>
      <c r="G37" s="3">
        <v>0</v>
      </c>
      <c r="H37" s="3">
        <v>0</v>
      </c>
      <c r="I37" s="29" t="s">
        <v>28</v>
      </c>
    </row>
    <row r="38" spans="1:9" ht="19.5" customHeight="1" x14ac:dyDescent="0.15">
      <c r="A38" s="45" t="s">
        <v>263</v>
      </c>
      <c r="B38" s="44"/>
      <c r="C38" s="34">
        <v>1430</v>
      </c>
      <c r="D38" s="34">
        <v>150</v>
      </c>
      <c r="E38" s="34"/>
      <c r="F38" s="9">
        <v>0</v>
      </c>
      <c r="G38" s="3">
        <v>0</v>
      </c>
      <c r="H38" s="3">
        <v>0</v>
      </c>
      <c r="I38" s="30"/>
    </row>
    <row r="39" spans="1:9" ht="19.5" customHeight="1" x14ac:dyDescent="0.15">
      <c r="A39" s="44" t="s">
        <v>53</v>
      </c>
      <c r="B39" s="44"/>
      <c r="C39" s="12" t="s">
        <v>54</v>
      </c>
      <c r="D39" s="34" t="s">
        <v>55</v>
      </c>
      <c r="E39" s="34"/>
      <c r="F39" s="11">
        <v>0</v>
      </c>
      <c r="G39" s="3">
        <v>0</v>
      </c>
      <c r="H39" s="3">
        <v>0</v>
      </c>
      <c r="I39" s="29" t="s">
        <v>28</v>
      </c>
    </row>
    <row r="40" spans="1:9" ht="19.5" customHeight="1" x14ac:dyDescent="0.15">
      <c r="A40" s="44" t="s">
        <v>56</v>
      </c>
      <c r="B40" s="44"/>
      <c r="C40" s="12" t="s">
        <v>57</v>
      </c>
      <c r="D40" s="34"/>
      <c r="E40" s="34"/>
      <c r="F40" s="11">
        <v>0</v>
      </c>
      <c r="G40" s="3">
        <v>0</v>
      </c>
      <c r="H40" s="3">
        <v>0</v>
      </c>
      <c r="I40" s="29" t="s">
        <v>28</v>
      </c>
    </row>
    <row r="41" spans="1:9" ht="19.5" customHeight="1" x14ac:dyDescent="0.15">
      <c r="A41" s="44" t="s">
        <v>58</v>
      </c>
      <c r="B41" s="44"/>
      <c r="C41" s="12" t="s">
        <v>59</v>
      </c>
      <c r="D41" s="34" t="s">
        <v>27</v>
      </c>
      <c r="E41" s="34"/>
      <c r="F41" s="11">
        <f>F42+F43+F44+F45</f>
        <v>0</v>
      </c>
      <c r="G41" s="3">
        <v>0</v>
      </c>
      <c r="H41" s="3">
        <v>0</v>
      </c>
      <c r="I41" s="29" t="s">
        <v>28</v>
      </c>
    </row>
    <row r="42" spans="1:9" ht="35.25" customHeight="1" x14ac:dyDescent="0.15">
      <c r="A42" s="44" t="s">
        <v>60</v>
      </c>
      <c r="B42" s="44"/>
      <c r="C42" s="34" t="s">
        <v>61</v>
      </c>
      <c r="D42" s="34" t="s">
        <v>62</v>
      </c>
      <c r="E42" s="34"/>
      <c r="F42" s="9">
        <v>0</v>
      </c>
      <c r="G42" s="3">
        <v>0</v>
      </c>
      <c r="H42" s="3">
        <v>0</v>
      </c>
      <c r="I42" s="29" t="s">
        <v>28</v>
      </c>
    </row>
    <row r="43" spans="1:9" ht="35.25" customHeight="1" x14ac:dyDescent="0.15">
      <c r="A43" s="44" t="s">
        <v>63</v>
      </c>
      <c r="B43" s="44"/>
      <c r="C43" s="34" t="s">
        <v>64</v>
      </c>
      <c r="D43" s="34" t="s">
        <v>62</v>
      </c>
      <c r="E43" s="34"/>
      <c r="F43" s="9">
        <v>0</v>
      </c>
      <c r="G43" s="3">
        <v>0</v>
      </c>
      <c r="H43" s="3">
        <v>0</v>
      </c>
      <c r="I43" s="29" t="s">
        <v>28</v>
      </c>
    </row>
    <row r="44" spans="1:9" ht="22.5" customHeight="1" x14ac:dyDescent="0.15">
      <c r="A44" s="44" t="s">
        <v>65</v>
      </c>
      <c r="B44" s="44"/>
      <c r="C44" s="34" t="s">
        <v>66</v>
      </c>
      <c r="D44" s="34" t="s">
        <v>62</v>
      </c>
      <c r="E44" s="34"/>
      <c r="F44" s="13">
        <v>0</v>
      </c>
      <c r="G44" s="3">
        <v>0</v>
      </c>
      <c r="H44" s="3">
        <v>0</v>
      </c>
      <c r="I44" s="29" t="s">
        <v>28</v>
      </c>
    </row>
    <row r="45" spans="1:9" ht="27.75" customHeight="1" x14ac:dyDescent="0.15">
      <c r="A45" s="44" t="s">
        <v>67</v>
      </c>
      <c r="B45" s="44"/>
      <c r="C45" s="34" t="s">
        <v>68</v>
      </c>
      <c r="D45" s="34" t="s">
        <v>62</v>
      </c>
      <c r="E45" s="34"/>
      <c r="F45" s="13">
        <v>0</v>
      </c>
      <c r="G45" s="3">
        <v>0</v>
      </c>
      <c r="H45" s="3">
        <v>0</v>
      </c>
      <c r="I45" s="29" t="s">
        <v>28</v>
      </c>
    </row>
    <row r="46" spans="1:9" ht="18" customHeight="1" x14ac:dyDescent="0.15">
      <c r="A46" s="44" t="s">
        <v>69</v>
      </c>
      <c r="B46" s="44"/>
      <c r="C46" s="30" t="s">
        <v>70</v>
      </c>
      <c r="D46" s="30" t="s">
        <v>27</v>
      </c>
      <c r="E46" s="30"/>
      <c r="F46" s="4">
        <f>F47+F57+F63+F67+F71+F73</f>
        <v>7417582</v>
      </c>
      <c r="G46" s="4">
        <f t="shared" ref="G46:H46" si="4">G47+G57+G63+G67+G71+G73</f>
        <v>7316989</v>
      </c>
      <c r="H46" s="4">
        <f t="shared" si="4"/>
        <v>7413770</v>
      </c>
      <c r="I46" s="29" t="s">
        <v>28</v>
      </c>
    </row>
    <row r="47" spans="1:9" ht="26.25" customHeight="1" x14ac:dyDescent="0.15">
      <c r="A47" s="44" t="s">
        <v>71</v>
      </c>
      <c r="B47" s="44"/>
      <c r="C47" s="30" t="s">
        <v>72</v>
      </c>
      <c r="D47" s="30" t="s">
        <v>27</v>
      </c>
      <c r="E47" s="30"/>
      <c r="F47" s="4">
        <f>F48+F49+F50+F51+F54+F55+F56</f>
        <v>4537000</v>
      </c>
      <c r="G47" s="4">
        <f t="shared" ref="G47:H47" si="5">G48+G49+G50+G51+G54+G55+G56</f>
        <v>4537000</v>
      </c>
      <c r="H47" s="4">
        <f t="shared" si="5"/>
        <v>4537000</v>
      </c>
      <c r="I47" s="29" t="s">
        <v>28</v>
      </c>
    </row>
    <row r="48" spans="1:9" ht="24" customHeight="1" x14ac:dyDescent="0.15">
      <c r="A48" s="44" t="s">
        <v>73</v>
      </c>
      <c r="B48" s="44"/>
      <c r="C48" s="30" t="s">
        <v>74</v>
      </c>
      <c r="D48" s="30" t="s">
        <v>75</v>
      </c>
      <c r="E48" s="30"/>
      <c r="F48" s="3">
        <v>3494639</v>
      </c>
      <c r="G48" s="3">
        <v>3494639</v>
      </c>
      <c r="H48" s="3">
        <v>3494639</v>
      </c>
      <c r="I48" s="29" t="s">
        <v>28</v>
      </c>
    </row>
    <row r="49" spans="1:9" ht="17.25" customHeight="1" x14ac:dyDescent="0.15">
      <c r="A49" s="44" t="s">
        <v>76</v>
      </c>
      <c r="B49" s="44"/>
      <c r="C49" s="30" t="s">
        <v>77</v>
      </c>
      <c r="D49" s="30" t="s">
        <v>78</v>
      </c>
      <c r="E49" s="30"/>
      <c r="F49" s="3">
        <v>0</v>
      </c>
      <c r="G49" s="3">
        <v>0</v>
      </c>
      <c r="H49" s="3">
        <v>0</v>
      </c>
      <c r="I49" s="29" t="s">
        <v>28</v>
      </c>
    </row>
    <row r="50" spans="1:9" ht="33" customHeight="1" x14ac:dyDescent="0.15">
      <c r="A50" s="44" t="s">
        <v>79</v>
      </c>
      <c r="B50" s="44"/>
      <c r="C50" s="30" t="s">
        <v>80</v>
      </c>
      <c r="D50" s="30" t="s">
        <v>81</v>
      </c>
      <c r="E50" s="30"/>
      <c r="F50" s="3">
        <v>0</v>
      </c>
      <c r="G50" s="3">
        <v>0</v>
      </c>
      <c r="H50" s="3">
        <v>0</v>
      </c>
      <c r="I50" s="29" t="s">
        <v>28</v>
      </c>
    </row>
    <row r="51" spans="1:9" ht="28.5" customHeight="1" x14ac:dyDescent="0.15">
      <c r="A51" s="44" t="s">
        <v>82</v>
      </c>
      <c r="B51" s="44"/>
      <c r="C51" s="30" t="s">
        <v>83</v>
      </c>
      <c r="D51" s="30" t="s">
        <v>84</v>
      </c>
      <c r="E51" s="30"/>
      <c r="F51" s="4">
        <f>F52+F53</f>
        <v>1042361</v>
      </c>
      <c r="G51" s="4">
        <f t="shared" ref="G51:H51" si="6">G52+G53</f>
        <v>1042361</v>
      </c>
      <c r="H51" s="4">
        <f t="shared" si="6"/>
        <v>1042361</v>
      </c>
      <c r="I51" s="29" t="s">
        <v>28</v>
      </c>
    </row>
    <row r="52" spans="1:9" ht="24" customHeight="1" x14ac:dyDescent="0.15">
      <c r="A52" s="44" t="s">
        <v>85</v>
      </c>
      <c r="B52" s="44"/>
      <c r="C52" s="30" t="s">
        <v>86</v>
      </c>
      <c r="D52" s="30" t="s">
        <v>84</v>
      </c>
      <c r="E52" s="30"/>
      <c r="F52" s="3">
        <v>1042361</v>
      </c>
      <c r="G52" s="3">
        <v>1042361</v>
      </c>
      <c r="H52" s="3">
        <v>1042361</v>
      </c>
      <c r="I52" s="29" t="s">
        <v>28</v>
      </c>
    </row>
    <row r="53" spans="1:9" ht="17.25" customHeight="1" x14ac:dyDescent="0.15">
      <c r="A53" s="44" t="s">
        <v>87</v>
      </c>
      <c r="B53" s="44"/>
      <c r="C53" s="30" t="s">
        <v>88</v>
      </c>
      <c r="D53" s="30" t="s">
        <v>84</v>
      </c>
      <c r="E53" s="30"/>
      <c r="F53" s="3">
        <v>0</v>
      </c>
      <c r="G53" s="3">
        <v>0</v>
      </c>
      <c r="H53" s="3">
        <v>0</v>
      </c>
      <c r="I53" s="29" t="s">
        <v>28</v>
      </c>
    </row>
    <row r="54" spans="1:9" ht="24.75" customHeight="1" x14ac:dyDescent="0.15">
      <c r="A54" s="44" t="s">
        <v>89</v>
      </c>
      <c r="B54" s="44"/>
      <c r="C54" s="30" t="s">
        <v>90</v>
      </c>
      <c r="D54" s="30" t="s">
        <v>91</v>
      </c>
      <c r="E54" s="30"/>
      <c r="F54" s="3">
        <v>0</v>
      </c>
      <c r="G54" s="3">
        <v>0</v>
      </c>
      <c r="H54" s="3">
        <v>0</v>
      </c>
      <c r="I54" s="29" t="s">
        <v>28</v>
      </c>
    </row>
    <row r="55" spans="1:9" ht="27" customHeight="1" x14ac:dyDescent="0.15">
      <c r="A55" s="44" t="s">
        <v>92</v>
      </c>
      <c r="B55" s="44"/>
      <c r="C55" s="30" t="s">
        <v>93</v>
      </c>
      <c r="D55" s="30" t="s">
        <v>94</v>
      </c>
      <c r="E55" s="30"/>
      <c r="F55" s="3">
        <v>0</v>
      </c>
      <c r="G55" s="3">
        <v>0</v>
      </c>
      <c r="H55" s="3">
        <v>0</v>
      </c>
      <c r="I55" s="29" t="s">
        <v>28</v>
      </c>
    </row>
    <row r="56" spans="1:9" ht="26.25" customHeight="1" x14ac:dyDescent="0.15">
      <c r="A56" s="44" t="s">
        <v>95</v>
      </c>
      <c r="B56" s="44"/>
      <c r="C56" s="30" t="s">
        <v>96</v>
      </c>
      <c r="D56" s="30" t="s">
        <v>97</v>
      </c>
      <c r="E56" s="30"/>
      <c r="F56" s="3">
        <v>0</v>
      </c>
      <c r="G56" s="3">
        <v>0</v>
      </c>
      <c r="H56" s="3">
        <v>0</v>
      </c>
      <c r="I56" s="29" t="s">
        <v>28</v>
      </c>
    </row>
    <row r="57" spans="1:9" ht="24.75" customHeight="1" x14ac:dyDescent="0.15">
      <c r="A57" s="44" t="s">
        <v>98</v>
      </c>
      <c r="B57" s="44"/>
      <c r="C57" s="30" t="s">
        <v>99</v>
      </c>
      <c r="D57" s="30" t="s">
        <v>100</v>
      </c>
      <c r="E57" s="30"/>
      <c r="F57" s="4">
        <f>F58+F59+F60+F61+F62</f>
        <v>0</v>
      </c>
      <c r="G57" s="4">
        <f t="shared" ref="G57:H57" si="7">G58+G59+G60+G61+G62</f>
        <v>0</v>
      </c>
      <c r="H57" s="4">
        <f t="shared" si="7"/>
        <v>0</v>
      </c>
      <c r="I57" s="29" t="s">
        <v>28</v>
      </c>
    </row>
    <row r="58" spans="1:9" ht="33.75" customHeight="1" x14ac:dyDescent="0.15">
      <c r="A58" s="44" t="s">
        <v>101</v>
      </c>
      <c r="B58" s="44"/>
      <c r="C58" s="30" t="s">
        <v>102</v>
      </c>
      <c r="D58" s="30" t="s">
        <v>103</v>
      </c>
      <c r="E58" s="30"/>
      <c r="F58" s="3">
        <v>0</v>
      </c>
      <c r="G58" s="3">
        <v>0</v>
      </c>
      <c r="H58" s="3">
        <v>0</v>
      </c>
      <c r="I58" s="29" t="s">
        <v>28</v>
      </c>
    </row>
    <row r="59" spans="1:9" ht="41.25" customHeight="1" x14ac:dyDescent="0.15">
      <c r="A59" s="44" t="s">
        <v>104</v>
      </c>
      <c r="B59" s="44"/>
      <c r="C59" s="30" t="s">
        <v>105</v>
      </c>
      <c r="D59" s="30" t="s">
        <v>106</v>
      </c>
      <c r="E59" s="30"/>
      <c r="F59" s="3">
        <v>0</v>
      </c>
      <c r="G59" s="3">
        <v>0</v>
      </c>
      <c r="H59" s="3">
        <v>0</v>
      </c>
      <c r="I59" s="29" t="s">
        <v>28</v>
      </c>
    </row>
    <row r="60" spans="1:9" ht="33.75" customHeight="1" x14ac:dyDescent="0.15">
      <c r="A60" s="44" t="s">
        <v>107</v>
      </c>
      <c r="B60" s="44"/>
      <c r="C60" s="30" t="s">
        <v>108</v>
      </c>
      <c r="D60" s="30" t="s">
        <v>109</v>
      </c>
      <c r="E60" s="30"/>
      <c r="F60" s="3">
        <v>0</v>
      </c>
      <c r="G60" s="3">
        <v>0</v>
      </c>
      <c r="H60" s="3">
        <v>0</v>
      </c>
      <c r="I60" s="29" t="s">
        <v>28</v>
      </c>
    </row>
    <row r="61" spans="1:9" ht="46.5" customHeight="1" x14ac:dyDescent="0.15">
      <c r="A61" s="44" t="s">
        <v>110</v>
      </c>
      <c r="B61" s="44"/>
      <c r="C61" s="30" t="s">
        <v>111</v>
      </c>
      <c r="D61" s="30" t="s">
        <v>112</v>
      </c>
      <c r="E61" s="30"/>
      <c r="F61" s="3">
        <v>0</v>
      </c>
      <c r="G61" s="3">
        <v>0</v>
      </c>
      <c r="H61" s="3">
        <v>0</v>
      </c>
      <c r="I61" s="29" t="s">
        <v>28</v>
      </c>
    </row>
    <row r="62" spans="1:9" ht="24.75" customHeight="1" x14ac:dyDescent="0.15">
      <c r="A62" s="44" t="s">
        <v>113</v>
      </c>
      <c r="B62" s="44"/>
      <c r="C62" s="30" t="s">
        <v>114</v>
      </c>
      <c r="D62" s="30" t="s">
        <v>115</v>
      </c>
      <c r="E62" s="30"/>
      <c r="F62" s="3">
        <v>0</v>
      </c>
      <c r="G62" s="3">
        <v>0</v>
      </c>
      <c r="H62" s="3">
        <v>0</v>
      </c>
      <c r="I62" s="29" t="s">
        <v>28</v>
      </c>
    </row>
    <row r="63" spans="1:9" ht="19.5" customHeight="1" x14ac:dyDescent="0.15">
      <c r="A63" s="44" t="s">
        <v>116</v>
      </c>
      <c r="B63" s="44"/>
      <c r="C63" s="30" t="s">
        <v>117</v>
      </c>
      <c r="D63" s="30" t="s">
        <v>118</v>
      </c>
      <c r="E63" s="30"/>
      <c r="F63" s="4">
        <f>F64+F65+F66</f>
        <v>16140</v>
      </c>
      <c r="G63" s="4">
        <f t="shared" ref="G63:H63" si="8">G64+G65+G66</f>
        <v>16140</v>
      </c>
      <c r="H63" s="4">
        <f t="shared" si="8"/>
        <v>16140</v>
      </c>
      <c r="I63" s="29" t="s">
        <v>28</v>
      </c>
    </row>
    <row r="64" spans="1:9" ht="24" customHeight="1" x14ac:dyDescent="0.15">
      <c r="A64" s="44" t="s">
        <v>119</v>
      </c>
      <c r="B64" s="44"/>
      <c r="C64" s="30" t="s">
        <v>120</v>
      </c>
      <c r="D64" s="30" t="s">
        <v>121</v>
      </c>
      <c r="E64" s="30"/>
      <c r="F64" s="3">
        <v>16140</v>
      </c>
      <c r="G64" s="3">
        <v>16140</v>
      </c>
      <c r="H64" s="3">
        <v>16140</v>
      </c>
      <c r="I64" s="29" t="s">
        <v>28</v>
      </c>
    </row>
    <row r="65" spans="1:9" ht="24" customHeight="1" x14ac:dyDescent="0.15">
      <c r="A65" s="44" t="s">
        <v>122</v>
      </c>
      <c r="B65" s="44"/>
      <c r="C65" s="30" t="s">
        <v>123</v>
      </c>
      <c r="D65" s="30" t="s">
        <v>124</v>
      </c>
      <c r="E65" s="30"/>
      <c r="F65" s="3">
        <v>0</v>
      </c>
      <c r="G65" s="3">
        <v>0</v>
      </c>
      <c r="H65" s="3">
        <v>0</v>
      </c>
      <c r="I65" s="29" t="s">
        <v>28</v>
      </c>
    </row>
    <row r="66" spans="1:9" ht="22.5" customHeight="1" x14ac:dyDescent="0.15">
      <c r="A66" s="44" t="s">
        <v>125</v>
      </c>
      <c r="B66" s="44"/>
      <c r="C66" s="30" t="s">
        <v>126</v>
      </c>
      <c r="D66" s="30" t="s">
        <v>127</v>
      </c>
      <c r="E66" s="30"/>
      <c r="F66" s="3">
        <v>0</v>
      </c>
      <c r="G66" s="3">
        <v>0</v>
      </c>
      <c r="H66" s="3">
        <v>0</v>
      </c>
      <c r="I66" s="29" t="s">
        <v>28</v>
      </c>
    </row>
    <row r="67" spans="1:9" ht="18.75" customHeight="1" x14ac:dyDescent="0.15">
      <c r="A67" s="44" t="s">
        <v>128</v>
      </c>
      <c r="B67" s="44"/>
      <c r="C67" s="30" t="s">
        <v>129</v>
      </c>
      <c r="D67" s="30" t="s">
        <v>27</v>
      </c>
      <c r="E67" s="30"/>
      <c r="F67" s="4">
        <f>F68+F69+F70</f>
        <v>0</v>
      </c>
      <c r="G67" s="4">
        <f t="shared" ref="G67:H67" si="9">G68+G69+G70</f>
        <v>0</v>
      </c>
      <c r="H67" s="4">
        <f t="shared" si="9"/>
        <v>0</v>
      </c>
      <c r="I67" s="29" t="s">
        <v>28</v>
      </c>
    </row>
    <row r="68" spans="1:9" ht="22.5" customHeight="1" x14ac:dyDescent="0.15">
      <c r="A68" s="44" t="s">
        <v>130</v>
      </c>
      <c r="B68" s="44"/>
      <c r="C68" s="30" t="s">
        <v>131</v>
      </c>
      <c r="D68" s="30" t="s">
        <v>132</v>
      </c>
      <c r="E68" s="30"/>
      <c r="F68" s="3">
        <v>0</v>
      </c>
      <c r="G68" s="3">
        <v>0</v>
      </c>
      <c r="H68" s="3">
        <v>0</v>
      </c>
      <c r="I68" s="29" t="s">
        <v>28</v>
      </c>
    </row>
    <row r="69" spans="1:9" ht="19.5" customHeight="1" x14ac:dyDescent="0.15">
      <c r="A69" s="44" t="s">
        <v>134</v>
      </c>
      <c r="B69" s="44"/>
      <c r="C69" s="30" t="s">
        <v>135</v>
      </c>
      <c r="D69" s="30" t="s">
        <v>136</v>
      </c>
      <c r="E69" s="30"/>
      <c r="F69" s="3">
        <v>0</v>
      </c>
      <c r="G69" s="3">
        <v>0</v>
      </c>
      <c r="H69" s="3">
        <v>0</v>
      </c>
      <c r="I69" s="29" t="s">
        <v>28</v>
      </c>
    </row>
    <row r="70" spans="1:9" ht="27.75" customHeight="1" x14ac:dyDescent="0.15">
      <c r="A70" s="44" t="s">
        <v>137</v>
      </c>
      <c r="B70" s="44"/>
      <c r="C70" s="30" t="s">
        <v>138</v>
      </c>
      <c r="D70" s="30" t="s">
        <v>139</v>
      </c>
      <c r="E70" s="30"/>
      <c r="F70" s="3">
        <v>0</v>
      </c>
      <c r="G70" s="3">
        <v>0</v>
      </c>
      <c r="H70" s="3">
        <v>0</v>
      </c>
      <c r="I70" s="29" t="s">
        <v>28</v>
      </c>
    </row>
    <row r="71" spans="1:9" ht="18" customHeight="1" x14ac:dyDescent="0.15">
      <c r="A71" s="44" t="s">
        <v>140</v>
      </c>
      <c r="B71" s="44"/>
      <c r="C71" s="30" t="s">
        <v>141</v>
      </c>
      <c r="D71" s="30" t="s">
        <v>27</v>
      </c>
      <c r="E71" s="30"/>
      <c r="F71" s="4">
        <f>F72</f>
        <v>0</v>
      </c>
      <c r="G71" s="4">
        <f t="shared" ref="G71:H71" si="10">G72</f>
        <v>0</v>
      </c>
      <c r="H71" s="4">
        <f t="shared" si="10"/>
        <v>0</v>
      </c>
      <c r="I71" s="29" t="s">
        <v>28</v>
      </c>
    </row>
    <row r="72" spans="1:9" ht="33" customHeight="1" x14ac:dyDescent="0.15">
      <c r="A72" s="44" t="s">
        <v>142</v>
      </c>
      <c r="B72" s="44"/>
      <c r="C72" s="30" t="s">
        <v>143</v>
      </c>
      <c r="D72" s="30" t="s">
        <v>144</v>
      </c>
      <c r="E72" s="30"/>
      <c r="F72" s="3">
        <v>0</v>
      </c>
      <c r="G72" s="3">
        <v>0</v>
      </c>
      <c r="H72" s="3">
        <v>0</v>
      </c>
      <c r="I72" s="29" t="s">
        <v>28</v>
      </c>
    </row>
    <row r="73" spans="1:9" ht="18" customHeight="1" x14ac:dyDescent="0.15">
      <c r="A73" s="47" t="s">
        <v>145</v>
      </c>
      <c r="B73" s="47"/>
      <c r="C73" s="10" t="s">
        <v>146</v>
      </c>
      <c r="D73" s="34" t="s">
        <v>27</v>
      </c>
      <c r="E73" s="34"/>
      <c r="F73" s="11">
        <f>F74+F75+F76+F77+F78+F79</f>
        <v>2864442</v>
      </c>
      <c r="G73" s="11">
        <f t="shared" ref="G73:H73" si="11">G74+G75+G76+G77+G78+G79</f>
        <v>2763849</v>
      </c>
      <c r="H73" s="11">
        <f t="shared" si="11"/>
        <v>2860630</v>
      </c>
      <c r="I73" s="29" t="s">
        <v>28</v>
      </c>
    </row>
    <row r="74" spans="1:9" ht="21.75" customHeight="1" x14ac:dyDescent="0.15">
      <c r="A74" s="47" t="s">
        <v>147</v>
      </c>
      <c r="B74" s="47"/>
      <c r="C74" s="34" t="s">
        <v>148</v>
      </c>
      <c r="D74" s="34" t="s">
        <v>149</v>
      </c>
      <c r="E74" s="34"/>
      <c r="F74" s="9">
        <v>0</v>
      </c>
      <c r="G74" s="9">
        <v>0</v>
      </c>
      <c r="H74" s="9">
        <v>0</v>
      </c>
      <c r="I74" s="29" t="s">
        <v>28</v>
      </c>
    </row>
    <row r="75" spans="1:9" ht="26.25" customHeight="1" x14ac:dyDescent="0.15">
      <c r="A75" s="47" t="s">
        <v>150</v>
      </c>
      <c r="B75" s="47"/>
      <c r="C75" s="34" t="s">
        <v>151</v>
      </c>
      <c r="D75" s="34" t="s">
        <v>152</v>
      </c>
      <c r="E75" s="34"/>
      <c r="F75" s="9">
        <v>0</v>
      </c>
      <c r="G75" s="9">
        <v>0</v>
      </c>
      <c r="H75" s="9">
        <v>0</v>
      </c>
      <c r="I75" s="29" t="s">
        <v>28</v>
      </c>
    </row>
    <row r="76" spans="1:9" ht="21.75" customHeight="1" x14ac:dyDescent="0.15">
      <c r="A76" s="47" t="s">
        <v>153</v>
      </c>
      <c r="B76" s="47"/>
      <c r="C76" s="34" t="s">
        <v>154</v>
      </c>
      <c r="D76" s="34" t="s">
        <v>155</v>
      </c>
      <c r="E76" s="34"/>
      <c r="F76" s="9">
        <v>0</v>
      </c>
      <c r="G76" s="9">
        <v>0</v>
      </c>
      <c r="H76" s="9">
        <v>0</v>
      </c>
      <c r="I76" s="29" t="s">
        <v>28</v>
      </c>
    </row>
    <row r="77" spans="1:9" ht="24" customHeight="1" x14ac:dyDescent="0.15">
      <c r="A77" s="47" t="s">
        <v>156</v>
      </c>
      <c r="B77" s="47"/>
      <c r="C77" s="10" t="s">
        <v>157</v>
      </c>
      <c r="D77" s="10">
        <v>244</v>
      </c>
      <c r="E77" s="34"/>
      <c r="F77" s="9">
        <v>444156</v>
      </c>
      <c r="G77" s="9">
        <v>225678</v>
      </c>
      <c r="H77" s="9">
        <v>198678</v>
      </c>
      <c r="I77" s="29" t="s">
        <v>28</v>
      </c>
    </row>
    <row r="78" spans="1:9" ht="24" customHeight="1" x14ac:dyDescent="0.15">
      <c r="A78" s="48" t="s">
        <v>267</v>
      </c>
      <c r="B78" s="49"/>
      <c r="C78" s="10">
        <v>2660</v>
      </c>
      <c r="D78" s="10">
        <v>247</v>
      </c>
      <c r="E78" s="34"/>
      <c r="F78" s="9">
        <v>2420286</v>
      </c>
      <c r="G78" s="9">
        <v>2538171</v>
      </c>
      <c r="H78" s="9">
        <v>2661952</v>
      </c>
      <c r="I78" s="30"/>
    </row>
    <row r="79" spans="1:9" ht="24" customHeight="1" x14ac:dyDescent="0.15">
      <c r="A79" s="47" t="s">
        <v>158</v>
      </c>
      <c r="B79" s="47"/>
      <c r="C79" s="34" t="s">
        <v>159</v>
      </c>
      <c r="D79" s="34" t="s">
        <v>160</v>
      </c>
      <c r="E79" s="34"/>
      <c r="F79" s="11">
        <f>F80+F81</f>
        <v>0</v>
      </c>
      <c r="G79" s="11">
        <f t="shared" ref="G79:H79" si="12">G80+G81</f>
        <v>0</v>
      </c>
      <c r="H79" s="11">
        <f t="shared" si="12"/>
        <v>0</v>
      </c>
      <c r="I79" s="30"/>
    </row>
    <row r="80" spans="1:9" ht="24" customHeight="1" x14ac:dyDescent="0.15">
      <c r="A80" s="47" t="s">
        <v>161</v>
      </c>
      <c r="B80" s="47"/>
      <c r="C80" s="34" t="s">
        <v>162</v>
      </c>
      <c r="D80" s="34" t="s">
        <v>163</v>
      </c>
      <c r="E80" s="34"/>
      <c r="F80" s="9">
        <v>0</v>
      </c>
      <c r="G80" s="9">
        <v>0</v>
      </c>
      <c r="H80" s="9">
        <v>0</v>
      </c>
      <c r="I80" s="30"/>
    </row>
    <row r="81" spans="1:9" ht="24" customHeight="1" x14ac:dyDescent="0.15">
      <c r="A81" s="47" t="s">
        <v>164</v>
      </c>
      <c r="B81" s="47"/>
      <c r="C81" s="34" t="s">
        <v>165</v>
      </c>
      <c r="D81" s="34" t="s">
        <v>166</v>
      </c>
      <c r="E81" s="34"/>
      <c r="F81" s="9">
        <v>0</v>
      </c>
      <c r="G81" s="9">
        <v>0</v>
      </c>
      <c r="H81" s="9">
        <v>0</v>
      </c>
      <c r="I81" s="29" t="s">
        <v>28</v>
      </c>
    </row>
    <row r="82" spans="1:9" ht="36.75" customHeight="1" x14ac:dyDescent="0.15">
      <c r="A82" s="47" t="s">
        <v>167</v>
      </c>
      <c r="B82" s="47"/>
      <c r="C82" s="34" t="s">
        <v>168</v>
      </c>
      <c r="D82" s="34" t="s">
        <v>169</v>
      </c>
      <c r="E82" s="34"/>
      <c r="F82" s="11">
        <f>F83+F84+F85</f>
        <v>0</v>
      </c>
      <c r="G82" s="11">
        <f t="shared" ref="G82:H82" si="13">G83+G84+G85</f>
        <v>0</v>
      </c>
      <c r="H82" s="11">
        <f t="shared" si="13"/>
        <v>0</v>
      </c>
      <c r="I82" s="29" t="s">
        <v>28</v>
      </c>
    </row>
    <row r="83" spans="1:9" ht="21" customHeight="1" x14ac:dyDescent="0.15">
      <c r="A83" s="47" t="s">
        <v>170</v>
      </c>
      <c r="B83" s="47"/>
      <c r="C83" s="34" t="s">
        <v>171</v>
      </c>
      <c r="D83" s="34"/>
      <c r="E83" s="34"/>
      <c r="F83" s="9">
        <v>0</v>
      </c>
      <c r="G83" s="9">
        <v>0</v>
      </c>
      <c r="H83" s="9">
        <v>0</v>
      </c>
      <c r="I83" s="29" t="s">
        <v>28</v>
      </c>
    </row>
    <row r="84" spans="1:9" ht="10.5" customHeight="1" x14ac:dyDescent="0.15">
      <c r="A84" s="47" t="s">
        <v>172</v>
      </c>
      <c r="B84" s="47"/>
      <c r="C84" s="34" t="s">
        <v>173</v>
      </c>
      <c r="D84" s="34"/>
      <c r="E84" s="34"/>
      <c r="F84" s="9">
        <v>0</v>
      </c>
      <c r="G84" s="9">
        <v>0</v>
      </c>
      <c r="H84" s="9">
        <v>0</v>
      </c>
      <c r="I84" s="29" t="s">
        <v>28</v>
      </c>
    </row>
    <row r="85" spans="1:9" ht="21" customHeight="1" x14ac:dyDescent="0.15">
      <c r="A85" s="47" t="s">
        <v>174</v>
      </c>
      <c r="B85" s="47"/>
      <c r="C85" s="34" t="s">
        <v>175</v>
      </c>
      <c r="D85" s="34"/>
      <c r="E85" s="34"/>
      <c r="F85" s="9">
        <v>0</v>
      </c>
      <c r="G85" s="9">
        <v>0</v>
      </c>
      <c r="H85" s="9">
        <v>0</v>
      </c>
      <c r="I85" s="29" t="s">
        <v>28</v>
      </c>
    </row>
    <row r="86" spans="1:9" ht="10.5" customHeight="1" x14ac:dyDescent="0.15">
      <c r="A86" s="47" t="s">
        <v>176</v>
      </c>
      <c r="B86" s="47"/>
      <c r="C86" s="34" t="s">
        <v>177</v>
      </c>
      <c r="D86" s="34" t="s">
        <v>27</v>
      </c>
      <c r="E86" s="34"/>
      <c r="F86" s="11">
        <f>F87+F88+F89+F90</f>
        <v>0</v>
      </c>
      <c r="G86" s="11">
        <f t="shared" ref="G86:H86" si="14">G87+G88+G89+G90</f>
        <v>0</v>
      </c>
      <c r="H86" s="11">
        <f t="shared" si="14"/>
        <v>0</v>
      </c>
      <c r="I86" s="29" t="s">
        <v>28</v>
      </c>
    </row>
    <row r="87" spans="1:9" ht="10.5" customHeight="1" x14ac:dyDescent="0.15">
      <c r="A87" s="47" t="s">
        <v>178</v>
      </c>
      <c r="B87" s="47"/>
      <c r="C87" s="34" t="s">
        <v>179</v>
      </c>
      <c r="D87" s="34" t="s">
        <v>180</v>
      </c>
      <c r="E87" s="34"/>
      <c r="F87" s="9">
        <v>0</v>
      </c>
      <c r="G87" s="9">
        <v>0</v>
      </c>
      <c r="H87" s="9">
        <v>0</v>
      </c>
      <c r="I87" s="29" t="s">
        <v>28</v>
      </c>
    </row>
    <row r="88" spans="1:9" ht="10.5" customHeight="1" x14ac:dyDescent="0.15">
      <c r="A88" s="47" t="s">
        <v>63</v>
      </c>
      <c r="B88" s="47"/>
      <c r="C88" s="34" t="s">
        <v>181</v>
      </c>
      <c r="D88" s="34" t="s">
        <v>180</v>
      </c>
      <c r="E88" s="34"/>
      <c r="F88" s="9">
        <v>0</v>
      </c>
      <c r="G88" s="9">
        <v>0</v>
      </c>
      <c r="H88" s="9">
        <v>0</v>
      </c>
      <c r="I88" s="29" t="s">
        <v>28</v>
      </c>
    </row>
    <row r="89" spans="1:9" ht="21" customHeight="1" x14ac:dyDescent="0.15">
      <c r="A89" s="47" t="s">
        <v>65</v>
      </c>
      <c r="B89" s="47"/>
      <c r="C89" s="34" t="s">
        <v>182</v>
      </c>
      <c r="D89" s="34" t="s">
        <v>180</v>
      </c>
      <c r="E89" s="34"/>
      <c r="F89" s="9">
        <v>0</v>
      </c>
      <c r="G89" s="9">
        <v>0</v>
      </c>
      <c r="H89" s="9">
        <v>0</v>
      </c>
      <c r="I89" s="29" t="s">
        <v>28</v>
      </c>
    </row>
    <row r="90" spans="1:9" ht="31.5" customHeight="1" x14ac:dyDescent="0.15">
      <c r="A90" s="47" t="s">
        <v>183</v>
      </c>
      <c r="B90" s="47"/>
      <c r="C90" s="34" t="s">
        <v>184</v>
      </c>
      <c r="D90" s="34" t="s">
        <v>180</v>
      </c>
      <c r="E90" s="34"/>
      <c r="F90" s="9">
        <v>0</v>
      </c>
      <c r="G90" s="9">
        <v>0</v>
      </c>
      <c r="H90" s="9">
        <v>0</v>
      </c>
      <c r="I90" s="29" t="s">
        <v>28</v>
      </c>
    </row>
    <row r="93" spans="1:9" x14ac:dyDescent="0.15">
      <c r="B93" s="35" t="s">
        <v>185</v>
      </c>
      <c r="C93" s="35"/>
      <c r="D93" s="35"/>
      <c r="E93" s="35"/>
      <c r="F93" s="35"/>
      <c r="G93" s="35"/>
      <c r="H93" s="35"/>
      <c r="I93" s="35"/>
    </row>
    <row r="95" spans="1:9" x14ac:dyDescent="0.15">
      <c r="A95" s="50" t="s">
        <v>186</v>
      </c>
      <c r="B95" s="50" t="s">
        <v>20</v>
      </c>
      <c r="C95" s="50" t="s">
        <v>21</v>
      </c>
      <c r="D95" s="50" t="s">
        <v>187</v>
      </c>
      <c r="E95" s="50" t="s">
        <v>22</v>
      </c>
      <c r="F95" s="50" t="s">
        <v>24</v>
      </c>
      <c r="G95" s="50"/>
      <c r="H95" s="50"/>
    </row>
    <row r="96" spans="1:9" ht="21" x14ac:dyDescent="0.15">
      <c r="A96" s="50"/>
      <c r="B96" s="50"/>
      <c r="C96" s="50"/>
      <c r="D96" s="50"/>
      <c r="E96" s="50"/>
      <c r="F96" s="34" t="s">
        <v>273</v>
      </c>
      <c r="G96" s="34" t="s">
        <v>274</v>
      </c>
      <c r="H96" s="34" t="s">
        <v>281</v>
      </c>
    </row>
    <row r="97" spans="1:8" x14ac:dyDescent="0.15">
      <c r="A97" s="29">
        <v>1</v>
      </c>
      <c r="B97" s="29">
        <v>2</v>
      </c>
      <c r="C97" s="29">
        <v>3</v>
      </c>
      <c r="D97" s="29">
        <v>4</v>
      </c>
      <c r="E97" s="29">
        <v>5</v>
      </c>
      <c r="F97" s="29">
        <v>6</v>
      </c>
      <c r="G97" s="29">
        <v>7</v>
      </c>
      <c r="H97" s="29">
        <v>8</v>
      </c>
    </row>
    <row r="98" spans="1:8" x14ac:dyDescent="0.15">
      <c r="A98" s="29" t="s">
        <v>28</v>
      </c>
      <c r="B98" s="1" t="s">
        <v>188</v>
      </c>
      <c r="C98" s="29" t="s">
        <v>189</v>
      </c>
      <c r="D98" s="29" t="s">
        <v>133</v>
      </c>
      <c r="E98" s="29"/>
      <c r="F98" s="5">
        <f>F99+F100+F101+F104</f>
        <v>2864442</v>
      </c>
      <c r="G98" s="5">
        <f>G99+G100+G101+G104</f>
        <v>2763849</v>
      </c>
      <c r="H98" s="5">
        <f>H99+H100+H101+H104</f>
        <v>2860630</v>
      </c>
    </row>
    <row r="99" spans="1:8" ht="31.5" x14ac:dyDescent="0.15">
      <c r="A99" s="29" t="s">
        <v>190</v>
      </c>
      <c r="B99" s="1" t="s">
        <v>191</v>
      </c>
      <c r="C99" s="29" t="s">
        <v>192</v>
      </c>
      <c r="D99" s="29" t="s">
        <v>133</v>
      </c>
      <c r="E99" s="29"/>
      <c r="F99" s="2"/>
      <c r="G99" s="2"/>
      <c r="H99" s="2"/>
    </row>
    <row r="100" spans="1:8" ht="42" x14ac:dyDescent="0.15">
      <c r="A100" s="29" t="s">
        <v>193</v>
      </c>
      <c r="B100" s="1" t="s">
        <v>194</v>
      </c>
      <c r="C100" s="29" t="s">
        <v>195</v>
      </c>
      <c r="D100" s="29" t="s">
        <v>133</v>
      </c>
      <c r="E100" s="29"/>
      <c r="F100" s="2"/>
      <c r="G100" s="2"/>
      <c r="H100" s="2"/>
    </row>
    <row r="101" spans="1:8" ht="31.5" x14ac:dyDescent="0.15">
      <c r="A101" s="29" t="s">
        <v>196</v>
      </c>
      <c r="B101" s="1" t="s">
        <v>197</v>
      </c>
      <c r="C101" s="29" t="s">
        <v>198</v>
      </c>
      <c r="D101" s="29" t="s">
        <v>133</v>
      </c>
      <c r="E101" s="29"/>
      <c r="F101" s="5">
        <f>F102+F103</f>
        <v>0</v>
      </c>
      <c r="G101" s="5">
        <f t="shared" ref="G101:H101" si="15">G102+G103</f>
        <v>0</v>
      </c>
      <c r="H101" s="5">
        <f t="shared" si="15"/>
        <v>0</v>
      </c>
    </row>
    <row r="102" spans="1:8" x14ac:dyDescent="0.15">
      <c r="A102" s="29" t="s">
        <v>199</v>
      </c>
      <c r="B102" s="1" t="s">
        <v>200</v>
      </c>
      <c r="C102" s="29" t="s">
        <v>201</v>
      </c>
      <c r="D102" s="29" t="s">
        <v>133</v>
      </c>
      <c r="E102" s="29"/>
      <c r="F102" s="2"/>
      <c r="G102" s="2"/>
      <c r="H102" s="2"/>
    </row>
    <row r="103" spans="1:8" x14ac:dyDescent="0.15">
      <c r="A103" s="29" t="s">
        <v>202</v>
      </c>
      <c r="B103" s="1" t="s">
        <v>203</v>
      </c>
      <c r="C103" s="29" t="s">
        <v>204</v>
      </c>
      <c r="D103" s="29" t="s">
        <v>133</v>
      </c>
      <c r="E103" s="29"/>
      <c r="F103" s="2"/>
      <c r="G103" s="2"/>
      <c r="H103" s="2"/>
    </row>
    <row r="104" spans="1:8" ht="42" x14ac:dyDescent="0.15">
      <c r="A104" s="29" t="s">
        <v>205</v>
      </c>
      <c r="B104" s="1" t="s">
        <v>206</v>
      </c>
      <c r="C104" s="29" t="s">
        <v>207</v>
      </c>
      <c r="D104" s="29" t="s">
        <v>133</v>
      </c>
      <c r="E104" s="29"/>
      <c r="F104" s="5">
        <f>F105+F108+F111+F112+F115</f>
        <v>2864442</v>
      </c>
      <c r="G104" s="5">
        <f t="shared" ref="G104:H104" si="16">G105+G108+G111+G112+G115</f>
        <v>2763849</v>
      </c>
      <c r="H104" s="5">
        <f t="shared" si="16"/>
        <v>2860630</v>
      </c>
    </row>
    <row r="105" spans="1:8" ht="31.5" x14ac:dyDescent="0.15">
      <c r="A105" s="29" t="s">
        <v>208</v>
      </c>
      <c r="B105" s="1" t="s">
        <v>209</v>
      </c>
      <c r="C105" s="29" t="s">
        <v>210</v>
      </c>
      <c r="D105" s="29" t="s">
        <v>133</v>
      </c>
      <c r="E105" s="29"/>
      <c r="F105" s="5">
        <f>F106+F107</f>
        <v>2864442</v>
      </c>
      <c r="G105" s="5">
        <f t="shared" ref="G105:H105" si="17">G106+G107</f>
        <v>2763849</v>
      </c>
      <c r="H105" s="5">
        <f t="shared" si="17"/>
        <v>2860630</v>
      </c>
    </row>
    <row r="106" spans="1:8" x14ac:dyDescent="0.15">
      <c r="A106" s="29" t="s">
        <v>211</v>
      </c>
      <c r="B106" s="1" t="s">
        <v>200</v>
      </c>
      <c r="C106" s="29" t="s">
        <v>212</v>
      </c>
      <c r="D106" s="29" t="s">
        <v>133</v>
      </c>
      <c r="E106" s="29"/>
      <c r="F106" s="9">
        <f>F73</f>
        <v>2864442</v>
      </c>
      <c r="G106" s="9">
        <f>G73</f>
        <v>2763849</v>
      </c>
      <c r="H106" s="9">
        <f>H73</f>
        <v>2860630</v>
      </c>
    </row>
    <row r="107" spans="1:8" x14ac:dyDescent="0.15">
      <c r="A107" s="29" t="s">
        <v>213</v>
      </c>
      <c r="B107" s="1" t="s">
        <v>203</v>
      </c>
      <c r="C107" s="29" t="s">
        <v>214</v>
      </c>
      <c r="D107" s="29" t="s">
        <v>133</v>
      </c>
      <c r="E107" s="29"/>
      <c r="F107" s="2"/>
      <c r="G107" s="2"/>
      <c r="H107" s="2"/>
    </row>
    <row r="108" spans="1:8" ht="31.5" x14ac:dyDescent="0.15">
      <c r="A108" s="29" t="s">
        <v>215</v>
      </c>
      <c r="B108" s="1" t="s">
        <v>216</v>
      </c>
      <c r="C108" s="29" t="s">
        <v>217</v>
      </c>
      <c r="D108" s="29" t="s">
        <v>133</v>
      </c>
      <c r="E108" s="29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9" t="s">
        <v>218</v>
      </c>
      <c r="B109" s="1" t="s">
        <v>200</v>
      </c>
      <c r="C109" s="29" t="s">
        <v>219</v>
      </c>
      <c r="D109" s="29" t="s">
        <v>133</v>
      </c>
      <c r="E109" s="29"/>
      <c r="F109" s="2"/>
      <c r="G109" s="2"/>
      <c r="H109" s="2"/>
    </row>
    <row r="110" spans="1:8" x14ac:dyDescent="0.15">
      <c r="A110" s="29" t="s">
        <v>220</v>
      </c>
      <c r="B110" s="1" t="s">
        <v>203</v>
      </c>
      <c r="C110" s="29" t="s">
        <v>221</v>
      </c>
      <c r="D110" s="29" t="s">
        <v>133</v>
      </c>
      <c r="E110" s="29"/>
      <c r="F110" s="2"/>
      <c r="G110" s="2"/>
      <c r="H110" s="2"/>
    </row>
    <row r="111" spans="1:8" ht="21" x14ac:dyDescent="0.15">
      <c r="A111" s="29" t="s">
        <v>222</v>
      </c>
      <c r="B111" s="1" t="s">
        <v>223</v>
      </c>
      <c r="C111" s="29" t="s">
        <v>224</v>
      </c>
      <c r="D111" s="29" t="s">
        <v>133</v>
      </c>
      <c r="E111" s="29"/>
      <c r="F111" s="2"/>
      <c r="G111" s="2"/>
      <c r="H111" s="2"/>
    </row>
    <row r="112" spans="1:8" x14ac:dyDescent="0.15">
      <c r="A112" s="29" t="s">
        <v>225</v>
      </c>
      <c r="B112" s="1" t="s">
        <v>226</v>
      </c>
      <c r="C112" s="29" t="s">
        <v>227</v>
      </c>
      <c r="D112" s="29" t="s">
        <v>133</v>
      </c>
      <c r="E112" s="29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9" t="s">
        <v>228</v>
      </c>
      <c r="B113" s="1" t="s">
        <v>200</v>
      </c>
      <c r="C113" s="29" t="s">
        <v>229</v>
      </c>
      <c r="D113" s="29" t="s">
        <v>133</v>
      </c>
      <c r="E113" s="29"/>
      <c r="F113" s="2"/>
      <c r="G113" s="2"/>
      <c r="H113" s="2"/>
    </row>
    <row r="114" spans="1:8" x14ac:dyDescent="0.15">
      <c r="A114" s="29" t="s">
        <v>230</v>
      </c>
      <c r="B114" s="1" t="s">
        <v>203</v>
      </c>
      <c r="C114" s="29" t="s">
        <v>231</v>
      </c>
      <c r="D114" s="29" t="s">
        <v>133</v>
      </c>
      <c r="E114" s="29"/>
      <c r="F114" s="2"/>
      <c r="G114" s="2"/>
      <c r="H114" s="2"/>
    </row>
    <row r="115" spans="1:8" x14ac:dyDescent="0.15">
      <c r="A115" s="29" t="s">
        <v>232</v>
      </c>
      <c r="B115" s="1" t="s">
        <v>233</v>
      </c>
      <c r="C115" s="29" t="s">
        <v>234</v>
      </c>
      <c r="D115" s="29" t="s">
        <v>133</v>
      </c>
      <c r="E115" s="29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9" t="s">
        <v>235</v>
      </c>
      <c r="B116" s="1" t="s">
        <v>200</v>
      </c>
      <c r="C116" s="29" t="s">
        <v>236</v>
      </c>
      <c r="D116" s="29" t="s">
        <v>133</v>
      </c>
      <c r="E116" s="29"/>
      <c r="F116" s="2"/>
      <c r="G116" s="2"/>
      <c r="H116" s="2"/>
    </row>
    <row r="117" spans="1:8" x14ac:dyDescent="0.15">
      <c r="A117" s="29" t="s">
        <v>237</v>
      </c>
      <c r="B117" s="1" t="s">
        <v>203</v>
      </c>
      <c r="C117" s="29" t="s">
        <v>238</v>
      </c>
      <c r="D117" s="29" t="s">
        <v>133</v>
      </c>
      <c r="E117" s="29"/>
      <c r="F117" s="2"/>
      <c r="G117" s="2"/>
      <c r="H117" s="2"/>
    </row>
    <row r="118" spans="1:8" ht="42" x14ac:dyDescent="0.15">
      <c r="A118" s="29" t="s">
        <v>239</v>
      </c>
      <c r="B118" s="1" t="s">
        <v>240</v>
      </c>
      <c r="C118" s="29" t="s">
        <v>241</v>
      </c>
      <c r="D118" s="29" t="s">
        <v>133</v>
      </c>
      <c r="E118" s="29"/>
      <c r="F118" s="5">
        <f>F119+F120+F121</f>
        <v>2864442</v>
      </c>
      <c r="G118" s="5">
        <f t="shared" ref="G118:H118" si="21">G119+G120+G121</f>
        <v>2763849</v>
      </c>
      <c r="H118" s="5">
        <f t="shared" si="21"/>
        <v>2860630</v>
      </c>
    </row>
    <row r="119" spans="1:8" x14ac:dyDescent="0.15">
      <c r="A119" s="29" t="s">
        <v>242</v>
      </c>
      <c r="B119" s="1" t="s">
        <v>243</v>
      </c>
      <c r="C119" s="29" t="s">
        <v>244</v>
      </c>
      <c r="D119" s="34">
        <v>2024</v>
      </c>
      <c r="E119" s="29"/>
      <c r="F119" s="3">
        <f>F104</f>
        <v>2864442</v>
      </c>
      <c r="G119" s="3">
        <f t="shared" ref="G119:H119" si="22">G104</f>
        <v>2763849</v>
      </c>
      <c r="H119" s="3">
        <f t="shared" si="22"/>
        <v>2860630</v>
      </c>
    </row>
    <row r="120" spans="1:8" x14ac:dyDescent="0.15">
      <c r="A120" s="29" t="s">
        <v>245</v>
      </c>
      <c r="B120" s="1" t="s">
        <v>243</v>
      </c>
      <c r="C120" s="29" t="s">
        <v>246</v>
      </c>
      <c r="D120" s="34">
        <v>2025</v>
      </c>
      <c r="E120" s="29"/>
      <c r="F120" s="2"/>
      <c r="G120" s="2"/>
      <c r="H120" s="2"/>
    </row>
    <row r="121" spans="1:8" x14ac:dyDescent="0.15">
      <c r="A121" s="29" t="s">
        <v>247</v>
      </c>
      <c r="B121" s="1" t="s">
        <v>243</v>
      </c>
      <c r="C121" s="29" t="s">
        <v>248</v>
      </c>
      <c r="D121" s="34">
        <v>2026</v>
      </c>
      <c r="E121" s="29"/>
      <c r="F121" s="2"/>
      <c r="G121" s="2"/>
      <c r="H121" s="2"/>
    </row>
    <row r="122" spans="1:8" ht="42" x14ac:dyDescent="0.15">
      <c r="A122" s="29" t="s">
        <v>249</v>
      </c>
      <c r="B122" s="1" t="s">
        <v>250</v>
      </c>
      <c r="C122" s="29" t="s">
        <v>251</v>
      </c>
      <c r="D122" s="34" t="s">
        <v>133</v>
      </c>
      <c r="E122" s="29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9" t="s">
        <v>252</v>
      </c>
      <c r="B123" s="1" t="s">
        <v>243</v>
      </c>
      <c r="C123" s="29" t="s">
        <v>253</v>
      </c>
      <c r="D123" s="34">
        <v>2024</v>
      </c>
      <c r="E123" s="29"/>
      <c r="F123" s="2"/>
      <c r="G123" s="2"/>
      <c r="H123" s="2"/>
    </row>
    <row r="124" spans="1:8" x14ac:dyDescent="0.15">
      <c r="A124" s="29" t="s">
        <v>254</v>
      </c>
      <c r="B124" s="1" t="s">
        <v>243</v>
      </c>
      <c r="C124" s="29" t="s">
        <v>255</v>
      </c>
      <c r="D124" s="34">
        <v>2025</v>
      </c>
      <c r="E124" s="29"/>
      <c r="F124" s="2"/>
      <c r="G124" s="2"/>
      <c r="H124" s="2"/>
    </row>
    <row r="125" spans="1:8" x14ac:dyDescent="0.15">
      <c r="A125" s="29" t="s">
        <v>256</v>
      </c>
      <c r="B125" s="1" t="s">
        <v>243</v>
      </c>
      <c r="C125" s="29" t="s">
        <v>257</v>
      </c>
      <c r="D125" s="34">
        <v>2026</v>
      </c>
      <c r="E125" s="29"/>
      <c r="F125" s="2"/>
      <c r="G125" s="2"/>
      <c r="H125" s="2"/>
    </row>
    <row r="127" spans="1:8" x14ac:dyDescent="0.15">
      <c r="A127" s="52" t="s">
        <v>258</v>
      </c>
      <c r="B127" s="52"/>
      <c r="C127" s="53" t="s">
        <v>269</v>
      </c>
      <c r="D127" s="54"/>
      <c r="E127" s="28"/>
      <c r="F127" s="53" t="s">
        <v>270</v>
      </c>
      <c r="G127" s="54"/>
    </row>
    <row r="128" spans="1:8" x14ac:dyDescent="0.15">
      <c r="C128" s="51" t="s">
        <v>259</v>
      </c>
      <c r="D128" s="51"/>
      <c r="E128" s="26" t="s">
        <v>2</v>
      </c>
      <c r="F128" s="51" t="s">
        <v>3</v>
      </c>
      <c r="G128" s="51"/>
    </row>
    <row r="130" spans="1:7" x14ac:dyDescent="0.15">
      <c r="A130" s="52" t="s">
        <v>260</v>
      </c>
      <c r="B130" s="52"/>
      <c r="C130" s="53" t="s">
        <v>265</v>
      </c>
      <c r="D130" s="54"/>
      <c r="E130" s="27" t="s">
        <v>268</v>
      </c>
      <c r="F130" s="53" t="s">
        <v>266</v>
      </c>
      <c r="G130" s="54"/>
    </row>
    <row r="131" spans="1:7" ht="21" x14ac:dyDescent="0.15">
      <c r="C131" s="51" t="s">
        <v>259</v>
      </c>
      <c r="D131" s="51"/>
      <c r="E131" s="26" t="s">
        <v>261</v>
      </c>
      <c r="F131" s="51" t="s">
        <v>262</v>
      </c>
      <c r="G131" s="51"/>
    </row>
    <row r="132" spans="1:7" ht="10.5" customHeight="1" x14ac:dyDescent="0.15">
      <c r="A132" s="38" t="s">
        <v>285</v>
      </c>
      <c r="B132" s="38"/>
    </row>
  </sheetData>
  <mergeCells count="102"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2024-09-30T09:44:30Z</cp:lastPrinted>
  <dcterms:created xsi:type="dcterms:W3CDTF">2020-09-16T13:07:09Z</dcterms:created>
  <dcterms:modified xsi:type="dcterms:W3CDTF">2025-01-30T10:35:24Z</dcterms:modified>
</cp:coreProperties>
</file>